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thekadouriconnection-my.sharepoint.com/personal/ysingh_thekadouriconnection_onmicrosoft_com/Documents/"/>
    </mc:Choice>
  </mc:AlternateContent>
  <xr:revisionPtr revIDLastSave="0" documentId="8_{8B796E2C-2C9C-4A38-BCB3-C7287A032918}" xr6:coauthVersionLast="47" xr6:coauthVersionMax="47" xr10:uidLastSave="{00000000-0000-0000-0000-000000000000}"/>
  <bookViews>
    <workbookView xWindow="-120" yWindow="-120" windowWidth="29040" windowHeight="15840" xr2:uid="{3812BD3C-7DB7-417F-9AC0-3999127E2371}"/>
  </bookViews>
  <sheets>
    <sheet name="Product list" sheetId="6" r:id="rId1"/>
    <sheet name="Suppliers " sheetId="4" r:id="rId2"/>
    <sheet name="Brokers" sheetId="5" r:id="rId3"/>
    <sheet name="Customers" sheetId="1" r:id="rId4"/>
  </sheets>
  <definedNames>
    <definedName name="_xlnm._FilterDatabase" localSheetId="3" hidden="1">Customers!$A$57:$Q$587</definedName>
    <definedName name="_xlnm.Print_Area" localSheetId="3">Customers!$B$525:$MV$595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8" i="5" l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27" i="5"/>
  <c r="C183" i="5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179" i="5"/>
  <c r="C180" i="5" s="1"/>
  <c r="C181" i="5" s="1"/>
  <c r="C182" i="5" s="1"/>
  <c r="C178" i="5"/>
  <c r="C177" i="5"/>
  <c r="C141" i="5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37" i="5"/>
  <c r="C138" i="5" s="1"/>
  <c r="C139" i="5" s="1"/>
  <c r="C140" i="5" s="1"/>
  <c r="C19" i="5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5" i="5"/>
  <c r="C16" i="5" s="1"/>
  <c r="C17" i="5" s="1"/>
  <c r="C18" i="5" s="1"/>
  <c r="C11" i="5"/>
  <c r="C12" i="5" s="1"/>
  <c r="C13" i="5" s="1"/>
  <c r="C14" i="5" s="1"/>
  <c r="C10" i="5"/>
  <c r="H130" i="1" l="1"/>
  <c r="H132" i="1" s="1"/>
  <c r="H184" i="1" s="1"/>
  <c r="H195" i="1" s="1"/>
  <c r="H198" i="1" s="1"/>
  <c r="H242" i="1" s="1"/>
  <c r="H252" i="1" s="1"/>
  <c r="H272" i="1" s="1"/>
  <c r="H278" i="1" s="1"/>
  <c r="H282" i="1" s="1"/>
  <c r="H311" i="1" s="1"/>
  <c r="H412" i="1" s="1"/>
  <c r="H413" i="1" s="1"/>
  <c r="H429" i="1" s="1"/>
  <c r="H459" i="1" s="1"/>
  <c r="H213" i="1" s="1"/>
  <c r="H655" i="1" s="1"/>
  <c r="H656" i="1" s="1"/>
  <c r="H391" i="1" s="1"/>
  <c r="H332" i="1" s="1"/>
  <c r="H414" i="1" s="1"/>
  <c r="H426" i="1" s="1"/>
  <c r="H486" i="1" s="1"/>
  <c r="H528" i="1" s="1"/>
  <c r="H279" i="1"/>
  <c r="H407" i="1" s="1"/>
  <c r="H443" i="1" s="1"/>
  <c r="H681" i="1" s="1"/>
  <c r="H320" i="1" s="1"/>
  <c r="H447" i="1" s="1"/>
  <c r="H368" i="1" s="1"/>
  <c r="H323" i="1" s="1"/>
  <c r="H71" i="1" s="1"/>
  <c r="H89" i="1" s="1"/>
  <c r="H185" i="1" s="1"/>
  <c r="H523" i="1" s="1"/>
  <c r="H524" i="1" s="1"/>
  <c r="H525" i="1" s="1"/>
  <c r="H660" i="1" s="1"/>
  <c r="H161" i="1" s="1"/>
  <c r="H283" i="1" s="1"/>
  <c r="H127" i="1" s="1"/>
  <c r="H103" i="1" s="1"/>
  <c r="H44" i="1" s="1"/>
  <c r="H532" i="1" s="1"/>
  <c r="H533" i="1" l="1"/>
  <c r="H575" i="1" s="1"/>
  <c r="H239" i="1" s="1"/>
  <c r="H557" i="1" s="1"/>
  <c r="H621" i="1" s="1"/>
  <c r="H627" i="1" s="1"/>
  <c r="H237" i="1" s="1"/>
  <c r="H409" i="1" s="1"/>
  <c r="H685" i="1" s="1"/>
  <c r="H20" i="1" s="1"/>
  <c r="H35" i="1" s="1"/>
  <c r="H36" i="1" s="1"/>
  <c r="H143" i="1" s="1"/>
  <c r="H277" i="1" s="1"/>
  <c r="H288" i="1" s="1"/>
  <c r="H383" i="1" s="1"/>
  <c r="H415" i="1" s="1"/>
  <c r="H421" i="1" s="1"/>
  <c r="H416" i="1" s="1"/>
  <c r="H547" i="1" s="1"/>
  <c r="H549" i="1" s="1"/>
  <c r="H562" i="1" s="1"/>
  <c r="E613" i="1" l="1" a="1"/>
  <c r="E6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tc={2C100996-3A53-4DC7-A1DC-1718A99E92CB}</author>
  </authors>
  <commentList>
    <comment ref="C111" authorId="0" shapeId="0" xr:uid="{2C100996-3A53-4DC7-A1DC-1718A99E92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Wire or ACH or mail ck no scans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Dawn</author>
    <author>tc={C5BA8A30-40EC-4C50-917B-3C366AC80C60}</author>
    <author>tc={F082AD07-FC24-4808-9934-156FD0E69E8C}</author>
    <author>tc={E45A1D5B-E5B2-43CC-818E-5F2728CC8AEB}</author>
  </authors>
  <commentList>
    <comment ref="F38" authorId="0" shapeId="0" xr:uid="{B5A79769-5620-4C5D-81E2-26CDE903AD79}">
      <text>
        <r>
          <rPr>
            <b/>
            <sz val="9"/>
            <color indexed="81"/>
            <rFont val="Tahoma"/>
            <family val="2"/>
          </rPr>
          <t>Dawn:</t>
        </r>
        <r>
          <rPr>
            <sz val="9"/>
            <color indexed="81"/>
            <rFont val="Tahoma"/>
            <family val="2"/>
          </rPr>
          <t xml:space="preserve">
Wire or mail</t>
        </r>
      </text>
    </comment>
    <comment ref="F90" authorId="0" shapeId="0" xr:uid="{992BB76A-B618-4B4E-9660-1684C62DC71E}">
      <text>
        <r>
          <rPr>
            <b/>
            <sz val="9"/>
            <color indexed="81"/>
            <rFont val="Tahoma"/>
            <family val="2"/>
          </rPr>
          <t>Dawn:</t>
        </r>
        <r>
          <rPr>
            <sz val="9"/>
            <color indexed="81"/>
            <rFont val="Tahoma"/>
            <family val="2"/>
          </rPr>
          <t xml:space="preserve">
scan ck ok</t>
        </r>
      </text>
    </comment>
    <comment ref="D92" authorId="1" shapeId="0" xr:uid="{C5BA8A30-40EC-4C50-917B-3C366AC80C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Wire or ACH or mail ck no scans 
</t>
      </text>
    </comment>
    <comment ref="F100" authorId="2" shapeId="0" xr:uid="{F082AD07-FC24-4808-9934-156FD0E69E8C}">
      <text>
        <t>[Threaded comment]
Your version of Excel allows you to read this threaded comment; however, any edits to it will get removed if the file is opened in a newer version of Excel. Learn more: https://go.microsoft.com/fwlink/?linkid=870924
Comment:
    Wire or mail ck</t>
      </text>
    </comment>
    <comment ref="D230" authorId="0" shapeId="0" xr:uid="{DE87C7DE-8E52-4F6C-B660-005D189132D2}">
      <text>
        <r>
          <rPr>
            <b/>
            <sz val="9"/>
            <color indexed="81"/>
            <rFont val="Tahoma"/>
            <family val="2"/>
          </rPr>
          <t>Dawn:</t>
        </r>
        <r>
          <rPr>
            <sz val="9"/>
            <color indexed="81"/>
            <rFont val="Tahoma"/>
            <family val="2"/>
          </rPr>
          <t xml:space="preserve">
Wire or mail</t>
        </r>
      </text>
    </comment>
    <comment ref="D242" authorId="0" shapeId="0" xr:uid="{D328A0D5-6DAA-4044-BA81-7FD07FA7F098}">
      <text>
        <r>
          <rPr>
            <b/>
            <sz val="9"/>
            <color indexed="81"/>
            <rFont val="Tahoma"/>
            <family val="2"/>
          </rPr>
          <t>Dawn:</t>
        </r>
        <r>
          <rPr>
            <sz val="9"/>
            <color indexed="81"/>
            <rFont val="Tahoma"/>
            <family val="2"/>
          </rPr>
          <t xml:space="preserve">
scan ck ok</t>
        </r>
      </text>
    </comment>
    <comment ref="D245" authorId="3" shapeId="0" xr:uid="{E45A1D5B-E5B2-43CC-818E-5F2728CC8AEB}">
      <text>
        <t>[Threaded comment]
Your version of Excel allows you to read this threaded comment; however, any edits to it will get removed if the file is opened in a newer version of Excel. Learn more: https://go.microsoft.com/fwlink/?linkid=870924
Comment:
    Wire or mail ck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Dawn</author>
    <author>tc={F1605399-9894-46BF-8DC0-CD3CB13BD59B}</author>
    <author>tc={A40812D8-DF95-46F4-B5C4-E27916296AAC}</author>
  </authors>
  <commentList>
    <comment ref="J147" authorId="0" shapeId="0" xr:uid="{E51852CC-4940-41AB-8BE8-3FF3EED0C54A}">
      <text>
        <r>
          <rPr>
            <b/>
            <sz val="9"/>
            <color indexed="81"/>
            <rFont val="Tahoma"/>
            <family val="2"/>
          </rPr>
          <t>Dawn:</t>
        </r>
        <r>
          <rPr>
            <sz val="9"/>
            <color indexed="81"/>
            <rFont val="Tahoma"/>
            <family val="2"/>
          </rPr>
          <t xml:space="preserve">
Josh Lewin -Jacus 718-435-6700 cell 516-859-1678
josh@dcoluccioandsons.com
</t>
        </r>
      </text>
    </comment>
    <comment ref="I337" authorId="1" shapeId="0" xr:uid="{F1605399-9894-46BF-8DC0-CD3CB13BD5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Rice crk &amp; fried green pea out of stock avail week of 8/25 </t>
      </text>
    </comment>
    <comment ref="J361" authorId="0" shapeId="0" xr:uid="{7E5681C5-FF62-42A7-B3AD-4D031E4078E2}">
      <text>
        <r>
          <rPr>
            <b/>
            <sz val="9"/>
            <color indexed="81"/>
            <rFont val="Tahoma"/>
            <family val="2"/>
          </rPr>
          <t>Dawn:</t>
        </r>
        <r>
          <rPr>
            <sz val="9"/>
            <color indexed="81"/>
            <rFont val="Tahoma"/>
            <family val="2"/>
          </rPr>
          <t xml:space="preserve">
Khaled Aly
</t>
        </r>
      </text>
    </comment>
    <comment ref="I536" authorId="2" shapeId="0" xr:uid="{A40812D8-DF95-46F4-B5C4-E27916296A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Cashew &amp; almond crunch
</t>
      </text>
    </comment>
    <comment ref="I645" authorId="0" shapeId="0" xr:uid="{FD6AB267-0D25-42F0-B4D0-33A05DF91FF8}">
      <text>
        <r>
          <rPr>
            <b/>
            <sz val="9"/>
            <color indexed="81"/>
            <rFont val="Tahoma"/>
            <family val="2"/>
          </rPr>
          <t>Dawn:</t>
        </r>
        <r>
          <rPr>
            <sz val="9"/>
            <color indexed="81"/>
            <rFont val="Tahoma"/>
            <family val="2"/>
          </rPr>
          <t xml:space="preserve">
2024 new owner updated new email 1/12/24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<sst xmlns="http://schemas.openxmlformats.org/spreadsheetml/2006/main" count="4937" uniqueCount="2533">
  <si>
    <t xml:space="preserve">The Kadouri Connection  </t>
  </si>
  <si>
    <t xml:space="preserve"> 525 Northern Blvd, Suite 205, Great Neck, NY 11021      </t>
  </si>
  <si>
    <t>Office Tel (516) 399-0155  Fax (516) 439-4436</t>
  </si>
  <si>
    <t xml:space="preserve"> </t>
  </si>
  <si>
    <t xml:space="preserve">Current Price List  </t>
  </si>
  <si>
    <t>Pallet</t>
  </si>
  <si>
    <t>Item#</t>
  </si>
  <si>
    <t>Pack</t>
  </si>
  <si>
    <t>Product Description</t>
  </si>
  <si>
    <t>FOB NJ       Pallet  $/LB</t>
  </si>
  <si>
    <t>Delivered $/lb</t>
  </si>
  <si>
    <t>NUTS</t>
  </si>
  <si>
    <t>80/60</t>
  </si>
  <si>
    <t>K1001</t>
  </si>
  <si>
    <t>25lb</t>
  </si>
  <si>
    <t xml:space="preserve">Almond Blanched Flour </t>
  </si>
  <si>
    <t>K1002</t>
  </si>
  <si>
    <t>Almond Blanched Meal</t>
  </si>
  <si>
    <t>K1003</t>
  </si>
  <si>
    <r>
      <t xml:space="preserve">Almond Natural Meal  </t>
    </r>
    <r>
      <rPr>
        <sz val="11"/>
        <color rgb="FFC00000"/>
        <rFont val="Aptos Narrow"/>
        <family val="2"/>
        <scheme val="minor"/>
      </rPr>
      <t>*** ONLY FOB CAL***</t>
    </r>
  </si>
  <si>
    <t>K1004</t>
  </si>
  <si>
    <t>50lb</t>
  </si>
  <si>
    <t>Almonds 18/20 Non Pareil Variety Type</t>
  </si>
  <si>
    <t>K1005</t>
  </si>
  <si>
    <t>Almonds 20/22 Non Pareil Variety Type</t>
  </si>
  <si>
    <t>K1006</t>
  </si>
  <si>
    <t>Almonds 23/25 Non Pareil Variety Type</t>
  </si>
  <si>
    <t>Almonds 25/27 Non Pareil Variety Type</t>
  </si>
  <si>
    <t>K1007</t>
  </si>
  <si>
    <t>Almonds 27/30 Non Pareil Variety Type</t>
  </si>
  <si>
    <t>K1008</t>
  </si>
  <si>
    <t>Almonds 30/32 Non Pareil Variety Type</t>
  </si>
  <si>
    <t>K1009</t>
  </si>
  <si>
    <t>Almonds Blanched Diced</t>
  </si>
  <si>
    <t>K1010</t>
  </si>
  <si>
    <t>Almonds Blanched Sliced - Blue Diamond</t>
  </si>
  <si>
    <t>K1011</t>
  </si>
  <si>
    <t>Almonds Blanched Slivered - Blue Diamond</t>
  </si>
  <si>
    <t>K1012</t>
  </si>
  <si>
    <t>Almonds Blanched Whole - Blue Diamond</t>
  </si>
  <si>
    <t>K1013</t>
  </si>
  <si>
    <t xml:space="preserve">25lb </t>
  </si>
  <si>
    <t>Almonds Natural Sliced  - Blue Diamond</t>
  </si>
  <si>
    <t>Almonds Smokehouse</t>
  </si>
  <si>
    <t>K1014</t>
  </si>
  <si>
    <t>Almonds Blanched Sliced - Custom Process</t>
  </si>
  <si>
    <t>K1015</t>
  </si>
  <si>
    <t>Almonds Blanched Slivered - Custom Process</t>
  </si>
  <si>
    <t>K1016</t>
  </si>
  <si>
    <t>Almonds Blanched Whole - Custom Process</t>
  </si>
  <si>
    <t>K1017</t>
  </si>
  <si>
    <t>Almonds Natural Sliced  - Custom Process</t>
  </si>
  <si>
    <t>K1018</t>
  </si>
  <si>
    <t xml:space="preserve">Almonds Organic Shelled </t>
  </si>
  <si>
    <t>K1019</t>
  </si>
  <si>
    <t xml:space="preserve">Almonds Roasted Salted </t>
  </si>
  <si>
    <t>K1020</t>
  </si>
  <si>
    <t>Almonds Roasted  Unsalted</t>
  </si>
  <si>
    <t>Almonds Hard Shell</t>
  </si>
  <si>
    <t>K1030</t>
  </si>
  <si>
    <t>44lb</t>
  </si>
  <si>
    <t>Brazil Nuts Medium/Midget</t>
  </si>
  <si>
    <t>K1031</t>
  </si>
  <si>
    <t>Brazil Nuts Broken</t>
  </si>
  <si>
    <t>K1040</t>
  </si>
  <si>
    <t>Cashews Pieces  Small</t>
  </si>
  <si>
    <t>K1041</t>
  </si>
  <si>
    <t>Cashews Pieces Large</t>
  </si>
  <si>
    <t>K1042</t>
  </si>
  <si>
    <t>48lb</t>
  </si>
  <si>
    <t xml:space="preserve">Cashews Raw Split </t>
  </si>
  <si>
    <t>K1043</t>
  </si>
  <si>
    <t>Cashews Roasted 320 Unsalted</t>
  </si>
  <si>
    <t>K1044</t>
  </si>
  <si>
    <t>Cashews Roasted 320 Salted</t>
  </si>
  <si>
    <t>k1047</t>
  </si>
  <si>
    <t>Cashews Roasted 240 Unsalted</t>
  </si>
  <si>
    <t>k1048</t>
  </si>
  <si>
    <t>Cashews Roasted 240 Salted</t>
  </si>
  <si>
    <t>K1045</t>
  </si>
  <si>
    <t xml:space="preserve">50lb </t>
  </si>
  <si>
    <t>Cashews Whole  240ct (Lg)</t>
  </si>
  <si>
    <t>K1046</t>
  </si>
  <si>
    <t>50LB</t>
  </si>
  <si>
    <t>Cashews Whole  W320 Raw</t>
  </si>
  <si>
    <t>K1060</t>
  </si>
  <si>
    <t>55lb</t>
  </si>
  <si>
    <t>Filberts Blanched Turkish</t>
  </si>
  <si>
    <t>K1061</t>
  </si>
  <si>
    <t>Filberts Oregon ( w Skin) X-Large</t>
  </si>
  <si>
    <t>K1062</t>
  </si>
  <si>
    <t>Filberts Oregon Jumbo 15/17mm</t>
  </si>
  <si>
    <t>K1063</t>
  </si>
  <si>
    <t>Filberts Raw Turkish 13/15 mm -natural</t>
  </si>
  <si>
    <t>K1064</t>
  </si>
  <si>
    <t>Filberts Natural Meal</t>
  </si>
  <si>
    <t>K1065</t>
  </si>
  <si>
    <t>22lb</t>
  </si>
  <si>
    <t>Filberts Blanched Roasted Vacpak</t>
  </si>
  <si>
    <t>Filberts Organic Turkish</t>
  </si>
  <si>
    <t>Filberst in Shell</t>
  </si>
  <si>
    <t>K1080</t>
  </si>
  <si>
    <t>Macadamias  #1</t>
  </si>
  <si>
    <t>K1081</t>
  </si>
  <si>
    <t>Macadamias  #2</t>
  </si>
  <si>
    <t>K1082</t>
  </si>
  <si>
    <t>Macadamias  #4</t>
  </si>
  <si>
    <t>K1083</t>
  </si>
  <si>
    <t>Macadamias  #6</t>
  </si>
  <si>
    <t>K1084</t>
  </si>
  <si>
    <t>Macadamias Pieces large L4</t>
  </si>
  <si>
    <t>K1100</t>
  </si>
  <si>
    <t>30lb</t>
  </si>
  <si>
    <t>Peanuts - Blanched Roasted Salted</t>
  </si>
  <si>
    <t>K1101</t>
  </si>
  <si>
    <t xml:space="preserve">Peanuts - Blanched Roasted No Salt </t>
  </si>
  <si>
    <t>K1102</t>
  </si>
  <si>
    <t>Peanuts - Blanched Raw</t>
  </si>
  <si>
    <t>K1103</t>
  </si>
  <si>
    <r>
      <t xml:space="preserve">Peanuts Rstd Granulated *** </t>
    </r>
    <r>
      <rPr>
        <sz val="11"/>
        <color rgb="FFC00000"/>
        <rFont val="Aptos Narrow"/>
        <family val="2"/>
        <scheme val="minor"/>
      </rPr>
      <t>20cs Min PU -Bronx</t>
    </r>
  </si>
  <si>
    <t>TOTE</t>
  </si>
  <si>
    <t>K1104</t>
  </si>
  <si>
    <t>2200lb</t>
  </si>
  <si>
    <t>Peanuts Blanched Jumbo Runner</t>
  </si>
  <si>
    <t>K1105</t>
  </si>
  <si>
    <t>110lb</t>
  </si>
  <si>
    <t>Peanuts Red Skin Jumbo Runner</t>
  </si>
  <si>
    <t>K1120</t>
  </si>
  <si>
    <t xml:space="preserve">30lb </t>
  </si>
  <si>
    <t>Pecan Fancy Jr Mammoth Halves</t>
  </si>
  <si>
    <t>K1121</t>
  </si>
  <si>
    <t xml:space="preserve">Pecan Fancy X-Large Halves </t>
  </si>
  <si>
    <t>K1122</t>
  </si>
  <si>
    <t>Pecan Fancy Pieces Large</t>
  </si>
  <si>
    <t>K1123</t>
  </si>
  <si>
    <t>Pecan Fancy Pieces Medium</t>
  </si>
  <si>
    <t>K1124</t>
  </si>
  <si>
    <t>Pecan Fancy Pieces Small</t>
  </si>
  <si>
    <t>Pecans in Shell</t>
  </si>
  <si>
    <t>K1140</t>
  </si>
  <si>
    <t>55.12lb</t>
  </si>
  <si>
    <t>Pignolia/Pine Nuts  750ct large</t>
  </si>
  <si>
    <t>K1141</t>
  </si>
  <si>
    <t xml:space="preserve">Pignolia/Pine Nuts 1200ct </t>
  </si>
  <si>
    <t>K1142</t>
  </si>
  <si>
    <t>Pignolia/Pine Nuts 950ct Med</t>
  </si>
  <si>
    <t>K1143</t>
  </si>
  <si>
    <t>27.55lb</t>
  </si>
  <si>
    <t>Pignolia/Pine Nuts Spanish</t>
  </si>
  <si>
    <t>K1144</t>
  </si>
  <si>
    <t xml:space="preserve">22lb </t>
  </si>
  <si>
    <t>Pignolia/Pine Nuts Turkish</t>
  </si>
  <si>
    <t>K1160</t>
  </si>
  <si>
    <t>Pistachio in shell Turkish roasted salted 32/34</t>
  </si>
  <si>
    <t>K1161</t>
  </si>
  <si>
    <t>Pistachio Pieces Lg/Splits</t>
  </si>
  <si>
    <t>K1162</t>
  </si>
  <si>
    <t xml:space="preserve"> 25lb / 30lb</t>
  </si>
  <si>
    <t>Pistachio Roasted Salted 21/27  in shell CA</t>
  </si>
  <si>
    <t>K1163</t>
  </si>
  <si>
    <t>Pistachio Roasted Unsalted 21/27  in shell CA</t>
  </si>
  <si>
    <t>K1164</t>
  </si>
  <si>
    <t>Pistachio Shelled Halves &amp; Pieces  CA</t>
  </si>
  <si>
    <t>K1165</t>
  </si>
  <si>
    <t>Pistachio Shelled Turkish (Kernel)</t>
  </si>
  <si>
    <t>K1166</t>
  </si>
  <si>
    <t>Pistachio Shelled Whole Raw 80%  CA</t>
  </si>
  <si>
    <t>K1180</t>
  </si>
  <si>
    <t>55.12 lb</t>
  </si>
  <si>
    <t>Pumpkin Seeds Shelled AA Sterilized ( Pepita)</t>
  </si>
  <si>
    <t>K1181</t>
  </si>
  <si>
    <t xml:space="preserve">Pumpkin Seeds Shelled Roasted Salted </t>
  </si>
  <si>
    <t>K1182</t>
  </si>
  <si>
    <t>Pumpkin Seeds Shelled Roasted Unsalted</t>
  </si>
  <si>
    <t>K1183</t>
  </si>
  <si>
    <t>Pumpkin Seeds in Shell Jumbo Salted</t>
  </si>
  <si>
    <t>40/55</t>
  </si>
  <si>
    <t>K1190</t>
  </si>
  <si>
    <t>Sunflower Shelled Imported Bulgaria</t>
  </si>
  <si>
    <t>80/25lb</t>
  </si>
  <si>
    <t>K1191</t>
  </si>
  <si>
    <t xml:space="preserve">Sunflower Kernals Roasted Salted </t>
  </si>
  <si>
    <t>K1192</t>
  </si>
  <si>
    <t xml:space="preserve">Sunflower Kernals Roasted Unsalted </t>
  </si>
  <si>
    <t>K1200</t>
  </si>
  <si>
    <t>Walnut Combo Granules</t>
  </si>
  <si>
    <t>70/80</t>
  </si>
  <si>
    <t>K1201</t>
  </si>
  <si>
    <t>Walnut Combo Halves &amp; Pieces</t>
  </si>
  <si>
    <t>K1202</t>
  </si>
  <si>
    <t>Walnut Combo Pieces Baker</t>
  </si>
  <si>
    <t>K1203</t>
  </si>
  <si>
    <t xml:space="preserve">Walnut Combo Pieces Medium  </t>
  </si>
  <si>
    <t>K1204</t>
  </si>
  <si>
    <t xml:space="preserve">Walnut Light Granules </t>
  </si>
  <si>
    <t>K1205</t>
  </si>
  <si>
    <t xml:space="preserve">Walnut Light Halves &amp; Pieces Chandler </t>
  </si>
  <si>
    <t>K1206</t>
  </si>
  <si>
    <t>Walnut Light Halves &amp; Pieces Domestic</t>
  </si>
  <si>
    <t>K1207</t>
  </si>
  <si>
    <t xml:space="preserve">Walnut Light Halves Chandler  </t>
  </si>
  <si>
    <t>K1208</t>
  </si>
  <si>
    <t xml:space="preserve">Walnut Light Medium Pieces </t>
  </si>
  <si>
    <t>K1209</t>
  </si>
  <si>
    <t>Walnut in Shell Jumbo Hartley</t>
  </si>
  <si>
    <t xml:space="preserve">ORGANIC NUTS*** Price to Order </t>
  </si>
  <si>
    <t>FRUITS</t>
  </si>
  <si>
    <t>K2001</t>
  </si>
  <si>
    <t>Apple Rings</t>
  </si>
  <si>
    <t>K2002</t>
  </si>
  <si>
    <t>Apple Diced</t>
  </si>
  <si>
    <t>K2010</t>
  </si>
  <si>
    <t>28lb</t>
  </si>
  <si>
    <t>Apricot #1</t>
  </si>
  <si>
    <t>K2011</t>
  </si>
  <si>
    <t>Apricot # 4</t>
  </si>
  <si>
    <t>K2012</t>
  </si>
  <si>
    <t>Apricot Diced Sulphured</t>
  </si>
  <si>
    <t>K2013</t>
  </si>
  <si>
    <t>Apricot Tart Sour Fancy</t>
  </si>
  <si>
    <t>K2014</t>
  </si>
  <si>
    <t>Apricot Organic #4</t>
  </si>
  <si>
    <t>K2015</t>
  </si>
  <si>
    <t>24x8oz</t>
  </si>
  <si>
    <t>Apricot Retail  *** priced per unit</t>
  </si>
  <si>
    <t>K2016</t>
  </si>
  <si>
    <t>24x12oz</t>
  </si>
  <si>
    <t>K2017</t>
  </si>
  <si>
    <t>24x7oz</t>
  </si>
  <si>
    <t>K2018</t>
  </si>
  <si>
    <t>48x7oz</t>
  </si>
  <si>
    <t>Apricot Organic retail</t>
  </si>
  <si>
    <t xml:space="preserve">Apricot Sweet Kernels Organic  </t>
  </si>
  <si>
    <t>K2030</t>
  </si>
  <si>
    <t>14lb</t>
  </si>
  <si>
    <t>Banana Chips</t>
  </si>
  <si>
    <t>K2031</t>
  </si>
  <si>
    <t>10lb</t>
  </si>
  <si>
    <t>Blueberries - Chile</t>
  </si>
  <si>
    <t>K2032</t>
  </si>
  <si>
    <t>Blueberries - USA</t>
  </si>
  <si>
    <t>40/50</t>
  </si>
  <si>
    <t>K2040</t>
  </si>
  <si>
    <t>Cataloupe Sliced</t>
  </si>
  <si>
    <t>40/80</t>
  </si>
  <si>
    <t>K2041</t>
  </si>
  <si>
    <t>Cherries Tart Pitted</t>
  </si>
  <si>
    <t>K2050</t>
  </si>
  <si>
    <t>Coconut Chips</t>
  </si>
  <si>
    <t>80/50</t>
  </si>
  <si>
    <t>K2051</t>
  </si>
  <si>
    <t>Coconut Desiccated Fine (Macaroon)</t>
  </si>
  <si>
    <t>K2052</t>
  </si>
  <si>
    <t xml:space="preserve">Coconut Desiccated Medium </t>
  </si>
  <si>
    <t>K2053</t>
  </si>
  <si>
    <t xml:space="preserve">Coconut Flakes Sweetened </t>
  </si>
  <si>
    <t>K2060</t>
  </si>
  <si>
    <t>Cranberries Ocean Spray</t>
  </si>
  <si>
    <t>K2070</t>
  </si>
  <si>
    <t>Currants Zante Greece</t>
  </si>
  <si>
    <t>K2080</t>
  </si>
  <si>
    <t>11lb</t>
  </si>
  <si>
    <t>Dates Medjool Large CA</t>
  </si>
  <si>
    <t>K2081</t>
  </si>
  <si>
    <t>Dates Pitted Tunisian</t>
  </si>
  <si>
    <t>33lb</t>
  </si>
  <si>
    <t>Date Paste</t>
  </si>
  <si>
    <t>K2082</t>
  </si>
  <si>
    <t>12x24oz</t>
  </si>
  <si>
    <t>Dates Pitted retail *** priced per unit</t>
  </si>
  <si>
    <t>K2083</t>
  </si>
  <si>
    <t>24x10oz</t>
  </si>
  <si>
    <t>K2100</t>
  </si>
  <si>
    <t>Figs # 1 Jumbo</t>
  </si>
  <si>
    <t>K2101</t>
  </si>
  <si>
    <t>Figs # 4</t>
  </si>
  <si>
    <t>K2102</t>
  </si>
  <si>
    <t xml:space="preserve">Figs Diced </t>
  </si>
  <si>
    <t>K2103</t>
  </si>
  <si>
    <t>Figs Paste</t>
  </si>
  <si>
    <t>K2104</t>
  </si>
  <si>
    <t>Figs Organic</t>
  </si>
  <si>
    <t>K2105</t>
  </si>
  <si>
    <t>48x8oz</t>
  </si>
  <si>
    <t>Figs retail</t>
  </si>
  <si>
    <t>K2106</t>
  </si>
  <si>
    <t>24x14oz</t>
  </si>
  <si>
    <t>K2107</t>
  </si>
  <si>
    <t>Figs # 4 Organic retail</t>
  </si>
  <si>
    <t>K2120</t>
  </si>
  <si>
    <t>Ginger Sliced</t>
  </si>
  <si>
    <t>K2121</t>
  </si>
  <si>
    <t>20lb</t>
  </si>
  <si>
    <t>Goji Berries</t>
  </si>
  <si>
    <t>K2122</t>
  </si>
  <si>
    <t>Guava Sliced</t>
  </si>
  <si>
    <t>K2123</t>
  </si>
  <si>
    <t>Kiwi Slices</t>
  </si>
  <si>
    <t>K2130</t>
  </si>
  <si>
    <t xml:space="preserve">Mango Diced </t>
  </si>
  <si>
    <t>K2131</t>
  </si>
  <si>
    <t>Mango Sliced</t>
  </si>
  <si>
    <t>K2132</t>
  </si>
  <si>
    <t>Mango Sliced No Dye Low Sugar</t>
  </si>
  <si>
    <t>K2133</t>
  </si>
  <si>
    <t>Mulberries</t>
  </si>
  <si>
    <t>K2140</t>
  </si>
  <si>
    <t>Papaya Chunks</t>
  </si>
  <si>
    <t>K2141</t>
  </si>
  <si>
    <t>Papaya Diced</t>
  </si>
  <si>
    <t>K2142</t>
  </si>
  <si>
    <t>Papaya Spears</t>
  </si>
  <si>
    <t>K2143</t>
  </si>
  <si>
    <t>Papaya Spears No Sugar</t>
  </si>
  <si>
    <t>K2144</t>
  </si>
  <si>
    <t xml:space="preserve">Peaches </t>
  </si>
  <si>
    <t>K2145</t>
  </si>
  <si>
    <t>Pears Fancy</t>
  </si>
  <si>
    <t>K2146</t>
  </si>
  <si>
    <t>Pineapple Core Dices</t>
  </si>
  <si>
    <t>K2147</t>
  </si>
  <si>
    <t>Pineapple Diced</t>
  </si>
  <si>
    <t>K2148</t>
  </si>
  <si>
    <t>Pineapple No Sugar</t>
  </si>
  <si>
    <t>K2149</t>
  </si>
  <si>
    <t>Pineapple Sliced</t>
  </si>
  <si>
    <t>K2150</t>
  </si>
  <si>
    <t>Pineapple Tidbits Thailand</t>
  </si>
  <si>
    <t>K2151</t>
  </si>
  <si>
    <t>Plum</t>
  </si>
  <si>
    <t>K2160</t>
  </si>
  <si>
    <t xml:space="preserve">Prunes Pitted 10/20 Jumbo </t>
  </si>
  <si>
    <t>K2161</t>
  </si>
  <si>
    <t>Prunes Pitted 30/40 Ashlock</t>
  </si>
  <si>
    <t>K2162</t>
  </si>
  <si>
    <t>Prunes Pitted 40/50 California</t>
  </si>
  <si>
    <t>K2163</t>
  </si>
  <si>
    <t>Prunes Pitted 50/60</t>
  </si>
  <si>
    <t>K2164</t>
  </si>
  <si>
    <t>Prunes Pitted 70/80  Uzbekistan</t>
  </si>
  <si>
    <t>K2165</t>
  </si>
  <si>
    <t>Prunes with Pits 10/20</t>
  </si>
  <si>
    <t>K2166</t>
  </si>
  <si>
    <t>Prunes Yellow Sour with Pit</t>
  </si>
  <si>
    <t>K2180</t>
  </si>
  <si>
    <t>Raisins Dark - Thompson Pakistani</t>
  </si>
  <si>
    <t>70/72</t>
  </si>
  <si>
    <t>K2181</t>
  </si>
  <si>
    <t>Raisins Dark - Thompson So Africa</t>
  </si>
  <si>
    <t>K2182</t>
  </si>
  <si>
    <t>Raisins Dark Select Thompson Argentina</t>
  </si>
  <si>
    <t>K2183</t>
  </si>
  <si>
    <t>Raisins Golden South Africa</t>
  </si>
  <si>
    <t>K2184</t>
  </si>
  <si>
    <t>Raisins Golden C.A</t>
  </si>
  <si>
    <t>K2185</t>
  </si>
  <si>
    <t>Raisins Golden seedless Fancy</t>
  </si>
  <si>
    <t>K2186</t>
  </si>
  <si>
    <t xml:space="preserve">Raisins Jumbo Flame </t>
  </si>
  <si>
    <t>K2187</t>
  </si>
  <si>
    <t>Raisins Jumbo Flame Chile</t>
  </si>
  <si>
    <t>K2188</t>
  </si>
  <si>
    <t>Raisins Dark Jumbo</t>
  </si>
  <si>
    <t>K2200</t>
  </si>
  <si>
    <t>Strawberries Thailand</t>
  </si>
  <si>
    <t>K2201</t>
  </si>
  <si>
    <t>Strawberries Turkish</t>
  </si>
  <si>
    <t xml:space="preserve">ORGANIC FRUIT *** Price to Order </t>
  </si>
  <si>
    <t>MISC</t>
  </si>
  <si>
    <t xml:space="preserve">Fava Beans Roasted </t>
  </si>
  <si>
    <t>K3210</t>
  </si>
  <si>
    <t>Corn Nuts Spain</t>
  </si>
  <si>
    <t>K3211</t>
  </si>
  <si>
    <t>Greens Peas Fried</t>
  </si>
  <si>
    <t>K3212</t>
  </si>
  <si>
    <t>Rice Crackers</t>
  </si>
  <si>
    <t>K3213</t>
  </si>
  <si>
    <t>Wasabi Peas</t>
  </si>
  <si>
    <t>K3220</t>
  </si>
  <si>
    <t>Chick Pea  Flour</t>
  </si>
  <si>
    <t>K3221</t>
  </si>
  <si>
    <t>Chick Peas Roasted White</t>
  </si>
  <si>
    <t>K3222</t>
  </si>
  <si>
    <t>Chick Peas Roasted Yellow</t>
  </si>
  <si>
    <t>K3230</t>
  </si>
  <si>
    <t>Quinoa Red</t>
  </si>
  <si>
    <t>K3231</t>
  </si>
  <si>
    <t>Quinoa White</t>
  </si>
  <si>
    <t>K3240</t>
  </si>
  <si>
    <t>4/5lb</t>
  </si>
  <si>
    <t>Sundried Tomato Halves</t>
  </si>
  <si>
    <t>K3241</t>
  </si>
  <si>
    <t>Sundried Tomato Julienne</t>
  </si>
  <si>
    <t>Natural Tomato Diced</t>
  </si>
  <si>
    <t>K3250</t>
  </si>
  <si>
    <t>Sesame Natural</t>
  </si>
  <si>
    <t>K3251</t>
  </si>
  <si>
    <t>Sesame Seeds Hulled</t>
  </si>
  <si>
    <t>93cs/P</t>
  </si>
  <si>
    <t xml:space="preserve">4/3liter </t>
  </si>
  <si>
    <t>Atlas Organic Extra Virgin Olive Oil - low acidity - TINS</t>
  </si>
  <si>
    <t>62cs/P</t>
  </si>
  <si>
    <t>12/1liter</t>
  </si>
  <si>
    <t>Atlas Organic Extra Virgin Olive Oil - low acidity - Glass btl</t>
  </si>
  <si>
    <t xml:space="preserve">ORGANIC </t>
  </si>
  <si>
    <t>almonds</t>
  </si>
  <si>
    <t xml:space="preserve">apricot </t>
  </si>
  <si>
    <t>banana chips</t>
  </si>
  <si>
    <t>Brazil Midget Kernels untreated</t>
  </si>
  <si>
    <t>Cashew 320</t>
  </si>
  <si>
    <t>coconut flour</t>
  </si>
  <si>
    <t>coconut shredded</t>
  </si>
  <si>
    <t>coconut palm sugar Big Tree</t>
  </si>
  <si>
    <t>Cranberries</t>
  </si>
  <si>
    <t xml:space="preserve">dates medjool </t>
  </si>
  <si>
    <t>dates pitted</t>
  </si>
  <si>
    <t>dates in cup 12x24oz</t>
  </si>
  <si>
    <t>dates in cup 24x10oz</t>
  </si>
  <si>
    <t>Figs</t>
  </si>
  <si>
    <t xml:space="preserve">Hazelnuts </t>
  </si>
  <si>
    <t>mango strips</t>
  </si>
  <si>
    <t>mango cheeks</t>
  </si>
  <si>
    <t>Natural Apricot</t>
  </si>
  <si>
    <t>Peanuts Raw</t>
  </si>
  <si>
    <t>pine nuts</t>
  </si>
  <si>
    <t>pistachios</t>
  </si>
  <si>
    <t>prunes pitted</t>
  </si>
  <si>
    <t>pumpkin Shelled</t>
  </si>
  <si>
    <t>raisins dark</t>
  </si>
  <si>
    <t xml:space="preserve">Strawberries </t>
  </si>
  <si>
    <t>tapioca starch</t>
  </si>
  <si>
    <t>walnut LHP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</si>
  <si>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</si>
  <si>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Vendor/Suppliers - Main Listing </t>
  </si>
  <si>
    <t>Tel</t>
  </si>
  <si>
    <t>Email</t>
  </si>
  <si>
    <t>Address</t>
  </si>
  <si>
    <t>Billing address</t>
  </si>
  <si>
    <t>pickup locations</t>
  </si>
  <si>
    <t>Co-Broker</t>
  </si>
  <si>
    <t>B</t>
  </si>
  <si>
    <t>A-1 Bakery</t>
  </si>
  <si>
    <t>C2</t>
  </si>
  <si>
    <t>AKC Commodities</t>
  </si>
  <si>
    <t>732-339-0071</t>
  </si>
  <si>
    <t>orders@akccommodities.com</t>
  </si>
  <si>
    <t xml:space="preserve"> 371 Hoes Lane Suite# 104
 Piscataway, NJ 08854</t>
  </si>
  <si>
    <t xml:space="preserve">Accem warehouse: 8 Peach Tree Hill Rd, Livingston, NJ 07039 201-858-3899 x 301  Email: PICKUP@ACCEM.COM for APPOINTMENTS. </t>
  </si>
  <si>
    <t>Allure Foods</t>
  </si>
  <si>
    <t>C1</t>
  </si>
  <si>
    <t xml:space="preserve">Alpine Pacific </t>
  </si>
  <si>
    <t>Global crop exchange</t>
  </si>
  <si>
    <t>Alya Foods</t>
  </si>
  <si>
    <t xml:space="preserve">Please schedule your pickup 
CNC Warehousing LLC
100 Hoffman Place , NJ 07205 
Tel: (908)-474-0357
cncwarehousing2@gmail.com
 </t>
  </si>
  <si>
    <t>American Berry Company</t>
  </si>
  <si>
    <t>American Dried Fruit &amp; Nut Co -</t>
  </si>
  <si>
    <t>Bob Ferrara</t>
  </si>
  <si>
    <t>Anchor Ingredients</t>
  </si>
  <si>
    <t>701-499-1480</t>
  </si>
  <si>
    <t>diana.thompson@anchoringredients.com</t>
  </si>
  <si>
    <t>4876 Rocking Horse Circle S Fargo, ND 58104</t>
  </si>
  <si>
    <t>4877 Rocking Horse Circle S Fargo, ND 58104</t>
  </si>
  <si>
    <t>Accem warehouse: 8 Peach Tree Hill Rd, Livingston, NJ 07039 201-858-3899 x 301</t>
  </si>
  <si>
    <t>Anderson</t>
  </si>
  <si>
    <t>Atalanta - JF Braun</t>
  </si>
  <si>
    <t>pickup warehouse information
Release# 
Celebrity Warehouse,
1 Atalanta Plaza
Elizabeth, NJ 07206
 Please have your carrier schedule your pickup appt by emailing  outboundappointments@atalanta1.com
Secondary warehouse:
Legend Warehouse
2020 S. Stiles Street
Linden  NJ 07036
Legend Warehouse legendtw@hotmail.com; legendorders@hotmail.com</t>
  </si>
  <si>
    <t>$0.02/lb</t>
  </si>
  <si>
    <t>Atlantic USA/ Ecom Food Ing.</t>
  </si>
  <si>
    <t>212-248-1190</t>
  </si>
  <si>
    <t>martina.heilemann@ecomtrading.com</t>
  </si>
  <si>
    <t>Ecom Food Ingredients USA  17 State Street, 23rd Floor, New York 10004-1501</t>
  </si>
  <si>
    <t>Atlantic (USA) LLC Att: Accounts Receivable, 17 State Street, 23rd Floor, New York, NY 10004</t>
  </si>
  <si>
    <t>Please use Lineage Release number/BOL:   58523
Pickup address: 200 Polar Way, Jersey City, NJ 07305
To schedule shipping appointments please use the below link:  
https://app.turvo.com/guest/appointments/40002</t>
  </si>
  <si>
    <t>C3</t>
  </si>
  <si>
    <t>Atlas Olive Oil</t>
  </si>
  <si>
    <t>305-600-4405</t>
  </si>
  <si>
    <t xml:space="preserve">ordersUSA@atlasoliveoils.com  </t>
  </si>
  <si>
    <t>1200 Brickwell Avenue, Suite 1960, Miami, FL 33131</t>
  </si>
  <si>
    <t>1201 Brickwell Avenue, Suite 1960, Miami, FL 33131</t>
  </si>
  <si>
    <t>AMS Logistics
c/o Atlas Olive oil Company
268 Martin Luther King
Morristown NJ 07960
Appointment is needed 48 hours before pickup.
973-359-1144 x 3
x105 Mira
x102 
hours 8 - 4pm ( lunch 12-1)
first come first serve,</t>
  </si>
  <si>
    <t>Olive Branch</t>
  </si>
  <si>
    <t>Aurora Products Inc</t>
  </si>
  <si>
    <t xml:space="preserve">203-375-9956 </t>
  </si>
  <si>
    <t>dgarwackiaAuroraproduct.com</t>
  </si>
  <si>
    <t>205 Edison Road, (REZ Blvd) Orange CT 06477</t>
  </si>
  <si>
    <t>Aurora Products Inc
205 Edison Road, (PEZ Blvd)
Orange, CT 06477
203-375-9956 
9-3pm closed 12-12.30 lunch
FCFS but needs appt</t>
  </si>
  <si>
    <t xml:space="preserve">Avanti </t>
  </si>
  <si>
    <t>209-931-2656</t>
  </si>
  <si>
    <t>PO BOX 719, Linden, CA 95236</t>
  </si>
  <si>
    <t>Baobab Dried Fruit / BBI Packers</t>
  </si>
  <si>
    <t>Tanya</t>
  </si>
  <si>
    <t>Bazzini Holdings LLC</t>
  </si>
  <si>
    <t>Billings Market</t>
  </si>
  <si>
    <t>Billings Marketing 
PO BOx 1987 
Delano CA 93216</t>
  </si>
  <si>
    <t>Pickup location:
Billings Marketing
US Cold Storage 
810 E. Continental Ave
Tulare CA 93274</t>
  </si>
  <si>
    <t>Birdsong</t>
  </si>
  <si>
    <t>612 Madison Ave, Suffolk, VA 23434</t>
  </si>
  <si>
    <t>Birdsong Peanuts
612 Madison Ave, Suffolk, VA 23434
( Pickup Memphis location or Gorman location is this old info.)
for redskin runner jombo &amp; blanched runner jumbo either of these warehouses
Blakley Ga or Slyvester Ga ...Birdsong Peanut 
Address: 107 Findley Rd, Sylvester, GA 31791
Phone: (229) 776-7600
Address: 230 Bay St, Blakely, GA 39823
Phone: (229) 723-3641
Sylvester Cold Storage
209 Seabrook Dr.
Sylvester, GA 31791
229-776-0050
Hours: 7 -3 
FCFS
  ( One of the storage peanut for Birdsong ) 
Phone: (229) 776-7600</t>
  </si>
  <si>
    <t>HP Parnell</t>
  </si>
  <si>
    <t>NH</t>
  </si>
  <si>
    <t>Blue Diamond</t>
  </si>
  <si>
    <t>Blue Star Direct LLC</t>
  </si>
  <si>
    <t>pickup location 
Blue Start Direct LLC Warehouse
2 Jill Ct, Bldg #21
Hillsborough, NJ 08844
warehouse hours 9am - 4pm 
** please exchange 
** please make an appointment for all pickups 24-48 hours in advance or call 201-982-6547 
bluestardirectllc@gmail.com</t>
  </si>
  <si>
    <t>Bulk Buy</t>
  </si>
  <si>
    <t>Bunker Specialties</t>
  </si>
  <si>
    <t>C &amp; G Enterprises - Giovannoni Nut</t>
  </si>
  <si>
    <t>Giovannoni Nut Co. Inc
C &amp; G Enterprises
1013 Shaw Road
Stockton, CA 95215
209-462-8851
Office@C-G.Enterprises</t>
  </si>
  <si>
    <t>Steve@giovanninut.com</t>
  </si>
  <si>
    <t>Cache Creek</t>
  </si>
  <si>
    <t>BK Sterling</t>
  </si>
  <si>
    <t xml:space="preserve">Cal Coast Almond Processing Inc </t>
  </si>
  <si>
    <t>CAL Coast Almond Processing Inc 
25 E 5th St ,
Crows Landing CA 95313</t>
  </si>
  <si>
    <t xml:space="preserve">PU: Ready Roast
       2805 Falcon Dr
       Madera, Ca 93637
They do require pick up appointments
Phone: 559-661-1696       
 Cal Coast - Pasteurizer </t>
  </si>
  <si>
    <t>Global Crop Exchange</t>
  </si>
  <si>
    <t xml:space="preserve">Cal Exports International </t>
  </si>
  <si>
    <t>Cal Export International 
1120 Second St, Suite 117
Brentwood, CA 94513 USA
925-420-6525 office
925-628-9996 cell Mark Jorgensen 
major0756@outlook.com</t>
  </si>
  <si>
    <t>pickup location:
533 Timmie Lane/Waterford, CA 95386
209-874-2317</t>
  </si>
  <si>
    <t>Cal Prune &amp; Nuts</t>
  </si>
  <si>
    <t>Cal Prune &amp; Nuts
207 Township Road
Gridley, California 95948
(530) 846-4245
calpruneandnuts@yahoo.com</t>
  </si>
  <si>
    <t>BK Sterling / Esposito</t>
  </si>
  <si>
    <t>California Fruit</t>
  </si>
  <si>
    <t>California Fruit  Basket Inc. / Lone Star Dehydrator 
2730 S. DE Wolf Avenue, Sanger, CA 93657
Tel:559-266-7117
Fax: 559-266-0988
reach out to: Admin@cal-fruit.com</t>
  </si>
  <si>
    <t>2730 S. Dewolf, Sanger, CA 93657</t>
  </si>
  <si>
    <t>New</t>
  </si>
  <si>
    <t>California Nut Co.</t>
  </si>
  <si>
    <t>California Nut Co. 
5166 South Sperry Road
Denair CA 95316
209-632-7511</t>
  </si>
  <si>
    <t>Innovative Ingredient sales</t>
  </si>
  <si>
    <t>California Raisin Growers Assoc.inc</t>
  </si>
  <si>
    <t>California  Raisin Growers Association Inc  
2267 N. Lassen 
Kerman CA 93630
reference PO# and or broker #
raisinmarketing@gmail.com
559-355-3050 CHERYL</t>
  </si>
  <si>
    <t xml:space="preserve">Campos Brothers Farms </t>
  </si>
  <si>
    <t>Capitol Food Co</t>
  </si>
  <si>
    <t>Global Crop Exchange / BK  Sterling</t>
  </si>
  <si>
    <t>Caro Nut</t>
  </si>
  <si>
    <t>Caro Nut 
2885 S. Cherry Ave
Fresno, CA 93706
559-475-5400 x 5455
Appt required call or email  appointment@caro-nut.com to schedule
Dan-D-Pak 
2628 S Cherry Ave
Fresno, CA 93706
To schedule an appt email: logistics@dan-d-pak-usa.com</t>
  </si>
  <si>
    <t>Carrier Family Farms</t>
  </si>
  <si>
    <t>Carriere Family Farms
1640 State Highway 45
Glennn CA 95943</t>
  </si>
  <si>
    <t>pickup the same 
loading form needs to be filled out
logistics@carrierefarms.com
bpalomino@carrierfarms.com</t>
  </si>
  <si>
    <t>CCP - sams</t>
  </si>
  <si>
    <t>Chase Pecan</t>
  </si>
  <si>
    <t>Chickplease LLC</t>
  </si>
  <si>
    <t>CNS Confection</t>
  </si>
  <si>
    <t xml:space="preserve">CNS Confectionery Products LLC
33 Hook Road
 Bayonne, NJ  07002
 201-823-1400
Shipping hours 8.00am - 4.30pm no appt needed ( lunch 12.-12.30)
** Fridays closes early 8am - 2pm </t>
  </si>
  <si>
    <t>CornHouse</t>
  </si>
  <si>
    <t>Pickup at 
Accem Warehouse - Livingston
8 Peach Tree Hill Rd,
Livingston, NJ 07039
201-858-3899</t>
  </si>
  <si>
    <t>David Rosen Bakery</t>
  </si>
  <si>
    <t>Prefers scan of ck or  ACH</t>
  </si>
  <si>
    <t>Decas Cranberry</t>
  </si>
  <si>
    <t>global Crop Exchange</t>
  </si>
  <si>
    <t>**</t>
  </si>
  <si>
    <t>Del Mar Packing</t>
  </si>
  <si>
    <t>Anthong Wright - Del Mar Packing
C 209-996-3885
O 209-894-5555 x 123 
PO Box 97, Westley, CA 95387</t>
  </si>
  <si>
    <t>global crop exchange</t>
  </si>
  <si>
    <t>Del Rio</t>
  </si>
  <si>
    <t xml:space="preserve">pickup location 
Del Rio Nut
15391 Vinewood Circle 
Livingston CA 95334   - </t>
  </si>
  <si>
    <t>Delta Peanut</t>
  </si>
  <si>
    <t>DeRuosi Nut</t>
  </si>
  <si>
    <t>DeRuosi Nut 
25055 Arthur Road 
Escalon CA 95320
209-838-8307
pickup location 
to schedule a pickup appt:
contact: Ashley 209-838-8307 x102
Ashley@deruosinut.com</t>
  </si>
  <si>
    <t>Desert Valley Date,Inc</t>
  </si>
  <si>
    <t>Dessert Valley Date - BK Sterling/Neff
86-740 Industrial Way
Coachella, CA 92236
760-398-0999
FCFS M-F 8am -3.301pm</t>
  </si>
  <si>
    <t>CLOSED</t>
  </si>
  <si>
    <t>Dessert Raisins ??</t>
  </si>
  <si>
    <t>closed</t>
  </si>
  <si>
    <t>Deutschon Inc</t>
  </si>
  <si>
    <t>Devik International</t>
  </si>
  <si>
    <t>Devik International Inc
455 Tarrytown Road
White Plains, NY 10607
914-347-1666 
David cell# 917-929-3991</t>
  </si>
  <si>
    <t xml:space="preserve">Diamond Foods </t>
  </si>
  <si>
    <t>Diamond Foods
1050 S. Diamond St. 
Stockton CA 95205
P/U appointment via emailpickup@diamondfoods.com 48 hours in advance needed.</t>
  </si>
  <si>
    <t>** new ?</t>
  </si>
  <si>
    <t xml:space="preserve">Easterlin Pecan Co. Inc </t>
  </si>
  <si>
    <t>Easterlin Pecan Co. Inc
210 South Dooly St
Montezuma, GA 31063
478-472-7731</t>
  </si>
  <si>
    <t>Euro Goods Food Inc</t>
  </si>
  <si>
    <t>Euro Goods Inc
740 East 5th Street
Brooklyn NY 11218
718-500-EURO
eurogoodsinc@gmail.com</t>
  </si>
  <si>
    <t>RELEASE# EG -01082
Pickup address 
750 Valley Street
Belleville NJ 07109
Shipping and receiving hours Monday - Thursday 10.30am -4.30pm  
First come first serve.
Sprinkles PU address different
698 S 21st St 
Irvington NJ 07111
Monday - Thursday 9am - 5pm
First come first serve</t>
  </si>
  <si>
    <t>Farmers International Inc</t>
  </si>
  <si>
    <t>FARMERS INT'L 
1260 MUIR AVE
CHICO CA 95973</t>
  </si>
  <si>
    <t>PICKUP LOCATION
FARMERS iNTERNATIONAL
T.M DUCHE
1502 SOUTH RAILROAD AV
ORLAND CA 95963</t>
  </si>
  <si>
    <t>Frazier Farms</t>
  </si>
  <si>
    <t>Frazier Nut Farms
10830 Yosemite Blvd
Waterford,CA 95386
Office 209-522-1406  
Cindy Fink</t>
  </si>
  <si>
    <t xml:space="preserve">pickup location also the same as above </t>
  </si>
  <si>
    <t>Genex traders</t>
  </si>
  <si>
    <t>stored in Lineage warehouse</t>
  </si>
  <si>
    <t>Gibson Farms</t>
  </si>
  <si>
    <t>Gold River Orchards</t>
  </si>
  <si>
    <t>GoldRiver Orchards
18400 Enterprises Road
Escalon, CA 95320
Ruby Astorga
QA Manager
( Thru Katie Earl)</t>
  </si>
  <si>
    <t>Goodness Ingredients</t>
  </si>
  <si>
    <t>Great Lakes</t>
  </si>
  <si>
    <t xml:space="preserve">A pickup appointment is required, contact Refrigit warehouse to schedule, details below:
Refrig-It Warehouse – South Kearny
77 Hackensack Avenue, BLDG 80
South Kearny, NJ 07032
8am – 2:30pm (Driver must sign in by 2:30 pm to get loaded)
PICK UP APPT REQUIRED: email appointments@refrigit.com and copy info@refrigit.com </t>
  </si>
  <si>
    <t>Growers Direct</t>
  </si>
  <si>
    <t>Global crop exchange / Innovative Ingredient sales</t>
  </si>
  <si>
    <t>Guerra Nut</t>
  </si>
  <si>
    <t>Guerra Nut Shelling Company PO Box 1117, Hollister, CA 95024
831-637-4471
Fax 831-637-1358
www.guerraNut.com</t>
  </si>
  <si>
    <t>pickup location
Guerra Nut Shelling Company, 
190 Hillcrest Road
Hollister CA 95024
831-637-4471 AT Jeff Guerra</t>
  </si>
  <si>
    <t>Hardy Farms</t>
  </si>
  <si>
    <t>Hardy Farms 
318 Industrial Blvd
Hawkinsville, GA 31036
478-783-0040</t>
  </si>
  <si>
    <t xml:space="preserve">Harris Woolf </t>
  </si>
  <si>
    <t xml:space="preserve">
Harris Woolf Almonds
26060 Colusa Road
Coalinga CA 93210</t>
  </si>
  <si>
    <t xml:space="preserve">Pickup location:
for Appt:
Hortencia Solorio hsolorio@hwalmonds.com
</t>
  </si>
  <si>
    <t>global Crop Exchange / BK Strling</t>
  </si>
  <si>
    <t>HillTop Ranch</t>
  </si>
  <si>
    <t>Hilltop Ranch, Inc
13890 Looney Road, 
Ballico, CA 95303
209-874-1875</t>
  </si>
  <si>
    <t>Please send schedule requests to shipping@hilltopranch.com. My cell is 562-608-9302, but I prefer email for scheduling if possible.
pickup address:
8235 Turlock Rd, 
Ballico, CA 95303
209-874-1875
Loading Hours: 7.30am - 2.30pm 
Reference/Release# : (example 17685.1)
Trucking Company Name (as shown on the truck)  
- Driver’s Name  
- Driver’s License Number  
- Truck License Number  
- Trailer License Number</t>
  </si>
  <si>
    <t>Horizon</t>
  </si>
  <si>
    <t>logistics@horizonnut.com   MVega@horizonnut.com</t>
  </si>
  <si>
    <t xml:space="preserve">Horizon Nut, LLC
26487 N. Hwy 99
Tulare, CA 93274
559-685-3663 ext. 242
hsylvester@horizonnut.com </t>
  </si>
  <si>
    <t>**New</t>
  </si>
  <si>
    <t>Hudelson Nut Company</t>
  </si>
  <si>
    <t>Hudelson Nut Company
10665 E Whitmore Ave
PO# 91
Hughson CA 95326</t>
  </si>
  <si>
    <t>J&amp;J Pecan</t>
  </si>
  <si>
    <t xml:space="preserve">J&amp;J Pecan LLC, 1439 Whispier Mountain, San Antonio, Tx 78258 </t>
  </si>
  <si>
    <t>RefrigIt Warehouse</t>
  </si>
  <si>
    <t>J&amp;K Ingredients</t>
  </si>
  <si>
    <t>Pickup 
Accem Warehouse-Livingston
8 Peach Tree Hill Rd
Livingston, NJ 07039
201-858-3899
Appt required 8-3.30pm call or email 24hrs in advance to schedule pickup@accem.com</t>
  </si>
  <si>
    <t>Jascole Inc</t>
  </si>
  <si>
    <t>JF Braun - Gellert Global Group dba Atalanta Corp</t>
  </si>
  <si>
    <t>Jimbo Jumbo</t>
  </si>
  <si>
    <t xml:space="preserve">Kalkat Fruit &amp; Nut </t>
  </si>
  <si>
    <t>Kalkat Fruit &amp; Nut Co / Brkr Pacific Atlantic.
520 Ohio St, Gridley, CA 95948</t>
  </si>
  <si>
    <t>pickup location
Kalkat Fruit &amp; Nut Co
860 Clardy Ave,
Gridley CA 95948
5303-370-6486</t>
  </si>
  <si>
    <t>Global crop echange</t>
  </si>
  <si>
    <t xml:space="preserve">La Nogalera </t>
  </si>
  <si>
    <t xml:space="preserve">M.G Commodities </t>
  </si>
  <si>
    <t>Mariani Nut Co</t>
  </si>
  <si>
    <t xml:space="preserve">Mariani Nut Co ( PacifAtl)
PO Box 808
Winters CA 95694
Jade Riepenhoff &lt;jriepenhoff@MarianiNut.com&gt;
Mary Brooks &lt;mbrooks@marianinut.com&gt;
</t>
  </si>
  <si>
    <t>Pickup location **** not this one
Mariani Nut Co
709 Dutton St
Winters CA 95694
530-662-3311</t>
  </si>
  <si>
    <t xml:space="preserve">Meduri </t>
  </si>
  <si>
    <t>Meduri Farms Inc.
12375 Smithfield Rd.
Dallas, OR 97338</t>
  </si>
  <si>
    <t>Appointments and 3rd Party BOLs required at least 24hrs in advance: mfilogistics@medurifarms.com
-
COA to follow once shipped.</t>
  </si>
  <si>
    <t>Meridian Growers</t>
  </si>
  <si>
    <t>Meridian Nut 
13559 Firebaugh Blvd
Madera, CA 93637
M-TH 7am 
for appointment: 
Ricardo 559-458-7272 x215</t>
  </si>
  <si>
    <t>Metro Commodities</t>
  </si>
  <si>
    <t>1 Arnold Dr, Huntington, NY 11743</t>
  </si>
  <si>
    <t xml:space="preserve">Metro Commodities Inc
1 Arnold Drive
Huntington, NY 11743
516-248-5185
Pickup 7am to 2pm
receiving@metrocommoditiesinc.com   </t>
  </si>
  <si>
    <t>Mid - Valley Walnuts</t>
  </si>
  <si>
    <t>??</t>
  </si>
  <si>
    <t>Mid Valleys - Sam's Pistachios</t>
  </si>
  <si>
    <t>Monarch Nut &amp; Co</t>
  </si>
  <si>
    <t>Morada Walnuts</t>
  </si>
  <si>
    <t xml:space="preserve">Nassau Candy </t>
  </si>
  <si>
    <t>National Harvest</t>
  </si>
  <si>
    <t>Nazo Products</t>
  </si>
  <si>
    <t>Nazo Products
560 Brook Ave
Deer Park, NY 11729
917-864-5568</t>
  </si>
  <si>
    <t>Neviot</t>
  </si>
  <si>
    <t>Northside</t>
  </si>
  <si>
    <t>OG Nut Sales</t>
  </si>
  <si>
    <t>OG Nut Sales 
2097 Beyer Lane
Stockton, CA 95215
209-932-8965</t>
  </si>
  <si>
    <t>pickup location ( the same as above)
OG Nut Sales 
2097 Beyer Lane
Stockton, CA 95215
209-932-8965</t>
  </si>
  <si>
    <t>Omega Walnut Inc</t>
  </si>
  <si>
    <t>Omega Walnut Inc 
7233 Country Rd. 24
Orland Ca 95963
Office: 1-530-865-0116
smedina@omegawalnut.com</t>
  </si>
  <si>
    <t>Pick up address:
Omega Walnut, Inc.
Address: 7233 County Road 24, Orland, CA 95963
Loading Hours: By appointment
Phone: (530) 865-0116
Email: jmiller@omegawalnut.com&gt;
Pick up date: 
Pick up number: 
DRIVER INFO NEEDED
*******Very Important to remind the driver to carry a strap or bar to secure the load*******
Drivers Name:
Carrier:
Truck lic plate#
Trailer lic#  
Contract / PO#     / 
Pick-up Date: 
Pick-up Time:</t>
  </si>
  <si>
    <t xml:space="preserve">Panoche Creek Packing </t>
  </si>
  <si>
    <t xml:space="preserve">Panoche Creek Packing - BK Sterling 
3611 W. Beechwood Ave, Suite 101, Fresno, CA 93711
559-449-1721 Office
 Almonds Carmel Supreme 23/25 - Cibo Vita 
Going NUts Inc - Pasteurization </t>
  </si>
  <si>
    <t>Pickup address
Panoche Creek
1221 S Madera Avenue, 
Kerman, CA 93630
559-842-8801
Appointment required, please email: 
Monica@panochecreek.com
shipping@panochecreek.com</t>
  </si>
  <si>
    <t>BK sterling</t>
  </si>
  <si>
    <t>Patterson Nut</t>
  </si>
  <si>
    <t xml:space="preserve">Patterson Nut Pickup Location :
Patterson Nut Market
16801 HWY 33
Patterson CA 95363
209-892-3458
kirk@pattersonnut.com
jhamilton@pattersonnut.com
Pickup number: PND 1337 or 2501-0034 </t>
  </si>
  <si>
    <t>PF Farms</t>
  </si>
  <si>
    <t>Docs</t>
  </si>
  <si>
    <t>PIDCO Peanut Import Dist Co</t>
  </si>
  <si>
    <t>Ag Cold ( Virginia Cold Storage)
117 PLover Dr.
Suffolk, VA 23434
757-539-0505
Kellie Redd : KRedd@ValColdStorage.com
Kristen Rife: KRife@VaColdStorage.com
Hours: Mon-Frid, 7am-2pm FCFS</t>
  </si>
  <si>
    <t>Poindexter Nuts Co</t>
  </si>
  <si>
    <t>Poindexter Nut
5414 E. Floral Ave
Selma, CA 93662</t>
  </si>
  <si>
    <t>Shipping Appointments:
Appointments@poindexternut.com&lt;mailto:Appointments@poindexternut.com&gt;
Please note we will need 24 hour’s advance notice for all dry van appointments.</t>
  </si>
  <si>
    <t>Global Crop Exchange /  Innovative Ingredient sales</t>
  </si>
  <si>
    <t xml:space="preserve">Prima Noche </t>
  </si>
  <si>
    <t xml:space="preserve">Prima Noce Packing Inc
16461 E Comstock Road 
Linden CA 95236
</t>
  </si>
  <si>
    <t>Raj Bhog</t>
  </si>
  <si>
    <t>RCN</t>
  </si>
  <si>
    <t>Red River Commodities</t>
  </si>
  <si>
    <t>BK  Sterling</t>
  </si>
  <si>
    <t>RFA</t>
  </si>
  <si>
    <t>The Richard Franco Agency, inc
830 Morris Turnpike, Suite 302
Short Hills, NJ 07078
973-376-4111
www.richardfranco.com</t>
  </si>
  <si>
    <t>REfrigIT warehouse 
 OR 
Garden State Cold - Carteret
580 Port Carteret Dr
Carteret, NJ 07008
973-270-2653 opt 2 ext 250
Appt required call or email appointments@gscscarteret.com</t>
  </si>
  <si>
    <t xml:space="preserve">River Oak </t>
  </si>
  <si>
    <t>River Oak Orchards - Pacif
9839 Hutchinson Rd
Manteca CA 95337
209-599-7108
Alyson@riveroakorchards.com</t>
  </si>
  <si>
    <t>2C</t>
  </si>
  <si>
    <t xml:space="preserve">Royal Quality Group ( Turkish Pistachios ) </t>
  </si>
  <si>
    <t xml:space="preserve">pickup
 351 Campus Dr
Somerset NJ 08873
open 9am - 4pm, Please use the front loading docks, 
</t>
  </si>
  <si>
    <t>Sam's Int'l</t>
  </si>
  <si>
    <t>SamDry Fruit &amp; Nuts DBA Sam International 2613 Rembrandt Place, Modesto, CA 95356
209-996-5663</t>
  </si>
  <si>
    <t>Refrig It Warehouse,  CA PU   Sam Int'l 
c/o Mid Valley Nut
2065 Geer Road
Hughson, CA 95326</t>
  </si>
  <si>
    <t>San Joaquin Figs</t>
  </si>
  <si>
    <t>San Joaquin Figs 
3564 N. Hazel Avenue
Fresno, CA 93722</t>
  </si>
  <si>
    <t xml:space="preserve">Pickup info as above 
Pickup hours Mon - Fri 8am -4pm </t>
  </si>
  <si>
    <t>Global crop exchange / Esppsito</t>
  </si>
  <si>
    <t>Santa Clara</t>
  </si>
  <si>
    <t>Santa Clara Nut Co
1590 Little Orchard St
San Jose, Ca 95110
408-298-2425</t>
  </si>
  <si>
    <t>Schiff Foods</t>
  </si>
  <si>
    <t>Pick up:
Schiff Food Products
994 Riverview Drive
Totowa, NJ 07512
(973) 237-1990
The company uses their own warehouse.
No Appointment needed.
Warehouse Hours:
Monday - Thursday: 8:30am – 5:30pm 
Lunch 12:30pm – 1:15pm
Friday: 8:30am – 12:00pm</t>
  </si>
  <si>
    <t xml:space="preserve">Select Ingredients </t>
  </si>
  <si>
    <t xml:space="preserve">Select Ingredients Inc
1 Halstead Way
Mahwah, NJ  07430
Ph:  201-560-1170;  Cell:  551-427-3004
efax:  201-961-7777
email: astor@selectingredients.net
www.buderimginger.com    
</t>
  </si>
  <si>
    <t>The warehouse address is in the Order Release:
GMI Distribution
60 Clyde Road
Somerset, NJ 08873.</t>
  </si>
  <si>
    <t>Sevenwells Granola</t>
  </si>
  <si>
    <t>Shah Trading</t>
  </si>
  <si>
    <t xml:space="preserve">Shoreline </t>
  </si>
  <si>
    <t>pickup location 
Shoreline Fruit LLC
10106 US Hwy 31 N.
Williambug, MI 49690
231-264-5598 x 41
shipping@shorelinefruit.com
Shipping Hours: 8.00 am - 4.00 pm, M-F, FCFS.
Advise driver to arrive on the premises by 3.30pm to ensure loading, Shipping Hours strictly enfoced.</t>
  </si>
  <si>
    <t>Sierra Valley</t>
  </si>
  <si>
    <t>Sierra Valley Almonds
850 Commerce Drive
Madera, CA 93637</t>
  </si>
  <si>
    <t xml:space="preserve">Pickup Location:
12828 Rd 26
Madeera, CA 93637
Shipping Hours 7.30am - 3.30pm Mon - Fri
Please call 559-661-8800 to schedule an appointment
shipping@svaalmonds.com 
storres@svalmonds.\com
Order/Release #:  SVA 
Carrier Name
Driver Name
Truck &amp; Trailer License Plate Numbers
Driver MUST present a VALID Drivers license (no photot copies)
 </t>
  </si>
  <si>
    <t>Global Crop Exchane</t>
  </si>
  <si>
    <t>SLD Commodities</t>
  </si>
  <si>
    <t>3427 SE Cormorant PL, Hobe Sound, FL 33455</t>
  </si>
  <si>
    <t>SLD Commodities, Laura McIntyre-Firrincielli, 3427 SE Cormorant PL, Hobe Sound, FL 33455</t>
  </si>
  <si>
    <t xml:space="preserve">*** new warehouse 2/18/25 **
JAF Global Logistics
1100 MIlik Street
Carteret, NJ 07008
Warehouse ContactL: Angel Chase    
ops@rfstrucks.com
Garden State Cold Storage,- Carterest
580 Port Carteret Drive Carteret NJ 07008
973-270-2653 option 2 x 250
orders@gscscarteret.com
JAF Global Logistics (formerly Allports Warehouse)
1319 North Broad St.
Hillside, NJ 07205
7am-3pm Shipping  (12pm-1pm close for lunch) - appointment not required for LTL.
tammy@aplogusa.com
zenun@aplogusa.com
</t>
  </si>
  <si>
    <t>Smirks</t>
  </si>
  <si>
    <t>Soleil Foods</t>
  </si>
  <si>
    <t>Soleil Foods LLC 
3900 Jermantown Rd, Ste 300
Fairfax, VA 22030
201-920-1553 Halim Saad
hsaad@soleilfoods.com</t>
  </si>
  <si>
    <t>Warehouse location: 
Freezepak/Alpha cold storage            
1000 Port Carteret Drive  
Carteret, NJ 07008
Pick up hours: 7am-3pm
Contact: Joseph / Jeremiah
P: (732)-352-0191</t>
  </si>
  <si>
    <t>Southern Farms</t>
  </si>
  <si>
    <t>Stewart &amp; Jasper</t>
  </si>
  <si>
    <t>Stewart &amp; Jasper 
3500 Shiells Road 
Newman, CA 95360</t>
  </si>
  <si>
    <t>same</t>
  </si>
  <si>
    <t xml:space="preserve">Sun Valley Raisins </t>
  </si>
  <si>
    <t>Globale Crop exchange</t>
  </si>
  <si>
    <t>Sunrise Commodities</t>
  </si>
  <si>
    <t>PO Box 1116, Alpine, NJ 07620</t>
  </si>
  <si>
    <t>140 Sylvan Ave, Englewood Cliffs, NJ 07632</t>
  </si>
  <si>
    <t xml:space="preserve">Sunview Marketing </t>
  </si>
  <si>
    <t xml:space="preserve">Sutter Foods </t>
  </si>
  <si>
    <t>Sutter Foods / PacfAtl (walnuts pieces for HA Case )
Sutter Foods Co
1500 Reed Road
Yuba City, CA 95993</t>
  </si>
  <si>
    <t xml:space="preserve">Sweet Soul </t>
  </si>
  <si>
    <t>T.M Duche Nuts</t>
  </si>
  <si>
    <t xml:space="preserve">Tasty STB Quarters </t>
  </si>
  <si>
    <t xml:space="preserve">Terra Nova </t>
  </si>
  <si>
    <t>TNT
Terra Nova Trading Inc
2 Theatre Square, Suite 211
Orinda, California, 94563
510-547-6151</t>
  </si>
  <si>
    <t>Tootsi Impex USA</t>
  </si>
  <si>
    <t>Tootsi Impex
8800 Blvd. Henri-Bourassa W
Ville St-Laurent,Quebec
Canada, H4S 1P4
514-381-9790</t>
  </si>
  <si>
    <t>Totally Nuts &amp; More Inc</t>
  </si>
  <si>
    <t>2000 Peel St, Suite #610
Montreal, Quebec, Canada H3A 2W5</t>
  </si>
  <si>
    <t xml:space="preserve">Traiana </t>
  </si>
  <si>
    <t xml:space="preserve">TRC Raisins </t>
  </si>
  <si>
    <t>Treenuts -</t>
  </si>
  <si>
    <t>Tree Nuts LLC 
(formerly Sun Valley Nut)
Alejandra Estrada
Tree Nuts, LLC
451 West F St.
Turlock, CA 95380
Ph: 209.669.6400</t>
  </si>
  <si>
    <t>release# ( usually broker conf#) 
Shipping Hours:
MON-FRI 8:00 A.M. to 4:00 P.M.  (Can extend as necessary, please advise)
All outgoing orders of 1 or more pallets must be weighed at scale located offsite.
PLEASE ARRIVE AT SCALE &amp;  CALL OFFICE AT 209-669-6400 UPON ARRIVAL TO BE ATTENDED
Scale house (unmanned):
590 S GOLDEN STATE BLVD, TURLOCK, CA 95380
Warehouse and office:
451 WEST F STREET, TURLOCK, CA 95380
PLEASE USE PO # AS RELEASE #</t>
  </si>
  <si>
    <t>Turkel Food- Pure Food- Mehmet</t>
  </si>
  <si>
    <t>release# 
Pickup address:
RefrigIt warehouse - Kearny
80 Campus Dr
South Kearny, NJ 07032
973-344-4545
appointments@refrigit.com</t>
  </si>
  <si>
    <t xml:space="preserve">Unicorn Ingredients USA </t>
  </si>
  <si>
    <t xml:space="preserve">Postal Address for checks:
Unicorn Ingredients
852 Franklin Ave, Unit 191
Franklin Lakesm NJ 07417
( bank info for wire on invocie) </t>
  </si>
  <si>
    <t>Glendale Warehouse -Cart er, 76 Carter Dr. Bldg F, Edison, NJ 08817 732-516-1555 App Required</t>
  </si>
  <si>
    <t>Valley Harvest Nut Co. Inc</t>
  </si>
  <si>
    <t>Global Crop exchange</t>
  </si>
  <si>
    <t>Van Family Orchards</t>
  </si>
  <si>
    <t xml:space="preserve">vann family Martina Meraz &lt;MMeraz@vforchards.com&gt; customer acct manager
530-473-3317 x 305
Cell# 530-501-8489
Martina Meraz &lt;MMeraz@vforchards.com&gt; customer acct manager
530-473-3317 x 305
Cell# 530-501-8489
vann family
Martina Meraz &lt;MMeraz@vforchards.com&gt; customer acct manager
530-473-3317 x 305
Cell# 530-501-8489
Martina Meraz &lt;MMeraz@vforchards.com&gt; customer acct manager
530-473-3317 x 305
Cell# 530-501-8489
</t>
  </si>
  <si>
    <t>pickup location may vary depending on pasteruzation etc
Please see below for pick up location:
6141 Abel Rd
Williams CA 95987
to schedulke pickup 
Matt Goddard &lt;MGoddard@vforchards.com&gt;
Maria Hernandez &lt;MariaHernandez@vforchards.com&gt;</t>
  </si>
  <si>
    <t>** NEW</t>
  </si>
  <si>
    <t xml:space="preserve">Victor Packing </t>
  </si>
  <si>
    <t>Billing &amp; PU address 
11687 Road 27 1/2
Madera CA 93637</t>
  </si>
  <si>
    <t>Westcott</t>
  </si>
  <si>
    <t xml:space="preserve">Pickup location:
Westco Fruit &amp; Nut
93-97 Coit Street, Irvington, NJ 07111
973-373-1866
Warehouse Hours: 10am – 3.30pm 
No need to schedule an appointment if you can just let them or us know when you will come to pickup.
Reference /release #  </t>
  </si>
  <si>
    <t>Wilbur</t>
  </si>
  <si>
    <t>Wilbur Packing Company  ( walnut &amp; Prunes)
PO Box 3730 Yuba City, California 95992
Tel: 530-671-4911</t>
  </si>
  <si>
    <t xml:space="preserve">Release # :
Pickup location is 1500 Eager Road Live Oak, CA 95953. 
You can reach out to Aaron below    to schedule your pickup 
              </t>
  </si>
  <si>
    <t>Wilco Peanut</t>
  </si>
  <si>
    <t>lizabeth Sternadel 
Account Coordiantor  @ Wilco Peanut
830-569-3808</t>
  </si>
  <si>
    <t>Wonderful Pistachios &amp; Almonds</t>
  </si>
  <si>
    <t>warehouse
Lost Hills Facility</t>
  </si>
  <si>
    <t>Wonderful pistachios &amp; almonds</t>
  </si>
  <si>
    <t>Xiali Trading</t>
  </si>
  <si>
    <t>York Pecan</t>
  </si>
  <si>
    <t xml:space="preserve">York Pecan Co.
2919 Hwy 32
Foreman, AR  71836
870-888-9972
Becky Guffey
(starnes york, 870-542-6196 x103 cell 903-490-2497 
</t>
  </si>
  <si>
    <t>pickup info below;
York Pecan Co.
2919 Hwy 32,
Foreman, AR 71836
870-542-6196
www.yorkpecan.com
No need for an appointment.  We are FCFS, M-F, 8a-4p CST.  Do you know what day you plan to pick up?</t>
  </si>
  <si>
    <t>Ziba</t>
  </si>
  <si>
    <t>Zymex Industries</t>
  </si>
  <si>
    <t>Zymex Industries Inc - PacifAtl
168 Hawk Drive
Merced CA 95341-8007</t>
  </si>
  <si>
    <t xml:space="preserve">pickup location 1
Zymex Industries
68 Hawk Drive
Merced CA 95341
209-722-2770
Pistachios -USX1 Raw 18/22
Pickup location:
Zymex Industries, Inc
168 Hawk Drive,
Merced, CA 95341
Shipping Hours: 
LTL Shipping Hours ( 8am to 4om )
FTL Shipping Hours ( 8am to 3.30pm)
Contact Info. to schedule pickup:
209-722-2770
Angie,Roxy, Ana or Ahmad
</t>
  </si>
  <si>
    <t xml:space="preserve">$0.02/lb </t>
  </si>
  <si>
    <t>$0.05/lb</t>
  </si>
  <si>
    <t>** separate business staying in QB</t>
  </si>
  <si>
    <t>Pacific Atlantic Broker</t>
  </si>
  <si>
    <t>BK Sterling Corp/Neff Co.</t>
  </si>
  <si>
    <t xml:space="preserve">HB Parnell </t>
  </si>
  <si>
    <t xml:space="preserve">Esposito </t>
  </si>
  <si>
    <t>Tanya Everdry</t>
  </si>
  <si>
    <t>Nutology Partners LLC</t>
  </si>
  <si>
    <t>HA Case</t>
  </si>
  <si>
    <t>Atlantic Usa</t>
  </si>
  <si>
    <t>Baobab Dried Fruit</t>
  </si>
  <si>
    <t>Cal Prune?</t>
  </si>
  <si>
    <t>ORG ??</t>
  </si>
  <si>
    <t>SAM</t>
  </si>
  <si>
    <t>** new</t>
  </si>
  <si>
    <t>Diamonds Walnuts</t>
  </si>
  <si>
    <t xml:space="preserve">Hudelson Nut Company </t>
  </si>
  <si>
    <t>Mid - Valley</t>
  </si>
  <si>
    <t xml:space="preserve">30 day return policy </t>
  </si>
  <si>
    <t xml:space="preserve"> .</t>
  </si>
  <si>
    <t>Victor Packing</t>
  </si>
  <si>
    <t>Allen R Klein Co ?</t>
  </si>
  <si>
    <t>Aripacks Inc</t>
  </si>
  <si>
    <t>Arthur Coussa ( Squah Int'l Comm)</t>
  </si>
  <si>
    <t>Baja Ag Inc</t>
  </si>
  <si>
    <t>Capco Ent ?</t>
  </si>
  <si>
    <t>Charlie scalla Broker</t>
  </si>
  <si>
    <t>Daks</t>
  </si>
  <si>
    <t>JF Braun</t>
  </si>
  <si>
    <t>Apricot Trade lLC</t>
  </si>
  <si>
    <t>Empire Specialty Foods Inc ??</t>
  </si>
  <si>
    <t>Mapeks Organic Apricots ??</t>
  </si>
  <si>
    <t>Akimpeks ??? 2018</t>
  </si>
  <si>
    <t>Harris &amp; Woolf</t>
  </si>
  <si>
    <t>Zymex Industried</t>
  </si>
  <si>
    <t xml:space="preserve">Harris &amp; Woolf </t>
  </si>
  <si>
    <t>Shipping Pallet Dimensions</t>
  </si>
  <si>
    <r>
      <t>U.S. Standard Pallet Size</t>
    </r>
    <r>
      <rPr>
        <sz val="11"/>
        <color rgb="FF686868"/>
        <rFont val="Arial"/>
        <family val="2"/>
      </rPr>
      <t>:</t>
    </r>
  </si>
  <si>
    <t>48" x 40" (1,219 mm x 1,016 mm) – Most commonly used in North America.</t>
  </si>
  <si>
    <r>
      <t>Euro Pallet Dimensions</t>
    </r>
    <r>
      <rPr>
        <sz val="11"/>
        <color rgb="FF686868"/>
        <rFont val="Arial"/>
        <family val="2"/>
      </rPr>
      <t>:</t>
    </r>
  </si>
  <si>
    <t>47.24" x 31.50" (1,200 mm x 800 mm) – The standard size used throughout Europe.</t>
  </si>
  <si>
    <r>
      <t>Australian Standard Pallet Size</t>
    </r>
    <r>
      <rPr>
        <sz val="11"/>
        <color rgb="FF686868"/>
        <rFont val="Arial"/>
        <family val="2"/>
      </rPr>
      <t>: </t>
    </r>
  </si>
  <si>
    <t>45.9" x 45.9" (1,165 mm x 1,165 mm) – Commonly used in Australia.</t>
  </si>
  <si>
    <r>
      <t>ISO Standard Pallet Sizes</t>
    </r>
    <r>
      <rPr>
        <sz val="11"/>
        <color rgb="FF686868"/>
        <rFont val="Arial"/>
        <family val="2"/>
      </rPr>
      <t>:</t>
    </r>
  </si>
  <si>
    <t>Various sizes are used globally, including 48" x 48", 40" x 48", and 48" x 40".</t>
  </si>
  <si>
    <t>Shipping Pallet Weights</t>
  </si>
  <si>
    <r>
      <t>Wooden pallets</t>
    </r>
    <r>
      <rPr>
        <sz val="11"/>
        <color rgb="FF686868"/>
        <rFont val="Arial"/>
        <family val="2"/>
      </rPr>
      <t>: Typically weigh between 30-70 lbs (14-32 kg</t>
    </r>
  </si>
  <si>
    <r>
      <t>Plastic pallets</t>
    </r>
    <r>
      <rPr>
        <sz val="11"/>
        <color rgb="FF686868"/>
        <rFont val="Arial"/>
        <family val="2"/>
      </rPr>
      <t>: Lighter than wood, weighing between 10-50 lbs (4.5-22.5 kg).</t>
    </r>
  </si>
  <si>
    <r>
      <t>Metal pallets</t>
    </r>
    <r>
      <rPr>
        <sz val="11"/>
        <color rgb="FF686868"/>
        <rFont val="Arial"/>
        <family val="2"/>
      </rPr>
      <t>: Heavier than wood and plastic, weighing between 50-150 lbs (23-68 kg).</t>
    </r>
  </si>
  <si>
    <r>
      <t>The </t>
    </r>
    <r>
      <rPr>
        <b/>
        <sz val="11"/>
        <color rgb="FF686868"/>
        <rFont val="Arial"/>
        <family val="2"/>
      </rPr>
      <t>average size of a shipping pallet</t>
    </r>
    <r>
      <rPr>
        <sz val="11"/>
        <color rgb="FF686868"/>
        <rFont val="Arial"/>
        <family val="2"/>
      </rPr>
      <t> and its weight should be factored into total freight costs, as heavier pallets contribute to overall shipping weight.</t>
    </r>
  </si>
  <si>
    <t>A - Active</t>
  </si>
  <si>
    <t>DEl</t>
  </si>
  <si>
    <t>NY-Li</t>
  </si>
  <si>
    <t>H/D</t>
  </si>
  <si>
    <t>Customer name</t>
  </si>
  <si>
    <t>N-Nonactive</t>
  </si>
  <si>
    <t>PU</t>
  </si>
  <si>
    <t>NY Q</t>
  </si>
  <si>
    <t>Hamid</t>
  </si>
  <si>
    <t>S-Semiactive</t>
  </si>
  <si>
    <t>Brklyn</t>
  </si>
  <si>
    <t>DDV</t>
  </si>
  <si>
    <t xml:space="preserve">DAWN </t>
  </si>
  <si>
    <t>A-Active</t>
  </si>
  <si>
    <t>LI</t>
  </si>
  <si>
    <r>
      <t>21</t>
    </r>
    <r>
      <rPr>
        <vertAlign val="superscript"/>
        <sz val="12"/>
        <color theme="8" tint="-0.249977111117893"/>
        <rFont val="Calibri"/>
        <family val="2"/>
      </rPr>
      <t>st</t>
    </r>
    <r>
      <rPr>
        <sz val="12"/>
        <color theme="8" tint="-0.249977111117893"/>
        <rFont val="Calibri"/>
        <family val="2"/>
      </rPr>
      <t xml:space="preserve"> Century Snacks.</t>
    </r>
  </si>
  <si>
    <t>631-588-8000</t>
  </si>
  <si>
    <t>SI</t>
  </si>
  <si>
    <t>Dannys</t>
  </si>
  <si>
    <t>2ND TO NONE WHOLESALE DISTRIBUTION</t>
  </si>
  <si>
    <t>james@2ndtononedistribution.com</t>
  </si>
  <si>
    <t>929-284-4325  Evan</t>
  </si>
  <si>
    <t>nj</t>
  </si>
  <si>
    <t>A Oliveri &amp; Sons</t>
  </si>
  <si>
    <t>donatol@aoliveriandsons.com</t>
  </si>
  <si>
    <t>201 319 9112 </t>
  </si>
  <si>
    <t>A to Z Glatt</t>
  </si>
  <si>
    <t>atozglatt@gmail.com</t>
  </si>
  <si>
    <t>tel:+17184544200</t>
  </si>
  <si>
    <t>A&amp;R , Dali Deli - Gastrunom</t>
  </si>
  <si>
    <t>shlomo@a1bakerysupply.com</t>
  </si>
  <si>
    <t>973-977-9400</t>
  </si>
  <si>
    <t>Aaron Gourmet *** Kosher only</t>
  </si>
  <si>
    <t xml:space="preserve">Thru BAL need to call </t>
  </si>
  <si>
    <t>Abarrotera Central</t>
  </si>
  <si>
    <t>DEL</t>
  </si>
  <si>
    <t>Abraham Humus</t>
  </si>
  <si>
    <t>abrahamshummos@gmail.com </t>
  </si>
  <si>
    <t>tel:+17322295799</t>
  </si>
  <si>
    <t>Q</t>
  </si>
  <si>
    <t>Abrahams Kosher Bakery</t>
  </si>
  <si>
    <t>PA</t>
  </si>
  <si>
    <t>DDV/H</t>
  </si>
  <si>
    <t>Abu El Ezz Sweets</t>
  </si>
  <si>
    <t>amjay123@gmail.com</t>
  </si>
  <si>
    <t>215-666-6806</t>
  </si>
  <si>
    <t xml:space="preserve">Ace Endico </t>
  </si>
  <si>
    <t>Ace Natural  / Eli Fried</t>
  </si>
  <si>
    <t>ORGANIC Only</t>
  </si>
  <si>
    <t xml:space="preserve"> 718-784-6000 x 116</t>
  </si>
  <si>
    <t>Adams Fair Acre Farms</t>
  </si>
  <si>
    <t>tel:+18453366300</t>
  </si>
  <si>
    <t>TX</t>
  </si>
  <si>
    <t>Aiva Product</t>
  </si>
  <si>
    <t>info@aivaproducts.com</t>
  </si>
  <si>
    <t>832-303-6153</t>
  </si>
  <si>
    <t>pu/imp</t>
  </si>
  <si>
    <t>Deira , Dubai -UAE</t>
  </si>
  <si>
    <t>AK commey</t>
  </si>
  <si>
    <t>MKC General trading</t>
  </si>
  <si>
    <t>Flat 2,1st floor</t>
  </si>
  <si>
    <t>Rahma Al Shamsi building</t>
  </si>
  <si>
    <t>Al Khor street , Gold Souq</t>
  </si>
  <si>
    <t>Mariani Nut -John for Almonds</t>
  </si>
  <si>
    <t>COD</t>
  </si>
  <si>
    <t>AL Nalmat</t>
  </si>
  <si>
    <t>pu</t>
  </si>
  <si>
    <t>NO</t>
  </si>
  <si>
    <t>Aladdin Baker</t>
  </si>
  <si>
    <t>Deira,Dubai -UAE</t>
  </si>
  <si>
    <t>Ali Haji Kohansal General Trading Co</t>
  </si>
  <si>
    <t>alihajikohansal@gmail.com</t>
  </si>
  <si>
    <t>Sheikha Latifa Bldg, Shop# 6, Dubao Ai Ras Metro Station, Al Ras, Deira UAE</t>
  </si>
  <si>
    <t>All American Nut &amp; Choc</t>
  </si>
  <si>
    <t xml:space="preserve">All Natural Food </t>
  </si>
  <si>
    <t>lenny</t>
  </si>
  <si>
    <t>Alle Processing</t>
  </si>
  <si>
    <t>del</t>
  </si>
  <si>
    <t>Amalya Groceries</t>
  </si>
  <si>
    <t>vboruhov@yahoo.com</t>
  </si>
  <si>
    <t>718-962-5106 cell</t>
  </si>
  <si>
    <t>American Nut &amp; Choc</t>
  </si>
  <si>
    <t>info@amnut.com</t>
  </si>
  <si>
    <t>nyc</t>
  </si>
  <si>
    <t>Amish Market East</t>
  </si>
  <si>
    <t>tel:+12123701761</t>
  </si>
  <si>
    <t>Amrita health food – 914 646 1160</t>
  </si>
  <si>
    <t>Anata Herb &amp; Health Center</t>
  </si>
  <si>
    <t>646-352-2097 Eric owner  ???</t>
  </si>
  <si>
    <t xml:space="preserve">Angels Bakery - Joe </t>
  </si>
  <si>
    <t>joe.a@angelbakeries.com</t>
  </si>
  <si>
    <t>833-817-7072</t>
  </si>
  <si>
    <t>Anish Supreme Foods</t>
  </si>
  <si>
    <t>914-954-9635</t>
  </si>
  <si>
    <t>AP Wholesale</t>
  </si>
  <si>
    <t>Active</t>
  </si>
  <si>
    <t>aphna Bazar- Hicksville</t>
  </si>
  <si>
    <t xml:space="preserve">Apna Sohna Bazar </t>
  </si>
  <si>
    <t>billusingh1976@gmail.com</t>
  </si>
  <si>
    <t>Shop 718-441-9200</t>
  </si>
  <si>
    <t>Parwinder Singh #347-553-5170</t>
  </si>
  <si>
    <t>101-02 116st S. Richmond Hill, NY 11419</t>
  </si>
  <si>
    <t>Apna Sohna Bazar , Rcokaway Blvd</t>
  </si>
  <si>
    <t>Shop 718-835-9100</t>
  </si>
  <si>
    <t>347-251-9161 Laklwinder Singh</t>
  </si>
  <si>
    <t>718-864-3188 Baljinder Singh</t>
  </si>
  <si>
    <t>117-10 Rockway Blvd, S. Ozone Park NY 11420</t>
  </si>
  <si>
    <t xml:space="preserve">Arabic Town 1,2, 3 </t>
  </si>
  <si>
    <t>3 big supermarket stores in Detroit area ??</t>
  </si>
  <si>
    <t>? Ilan</t>
  </si>
  <si>
    <t>Ariola Pastry</t>
  </si>
  <si>
    <t>peterariola@ariolafoods.com</t>
  </si>
  <si>
    <t>tel:+16314546210</t>
  </si>
  <si>
    <t>Ari's Mediterranean Imports</t>
  </si>
  <si>
    <t>714-257-2747</t>
  </si>
  <si>
    <t>Aris Wholesale</t>
  </si>
  <si>
    <t>info@arisfoods.com</t>
  </si>
  <si>
    <t>tel:+15624830507</t>
  </si>
  <si>
    <t>Arlington Candy</t>
  </si>
  <si>
    <t>Aron Streits</t>
  </si>
  <si>
    <t>tel:+12124757000</t>
  </si>
  <si>
    <t>Ascend Foods</t>
  </si>
  <si>
    <t xml:space="preserve">Asli Fine Foods </t>
  </si>
  <si>
    <t>info@aslifinefoods.com</t>
  </si>
  <si>
    <t>630-739-1599</t>
  </si>
  <si>
    <t>1440 Davey Rd, Woodridge, IL 60517</t>
  </si>
  <si>
    <t>Asmar's Mediteraen Food -   VA</t>
  </si>
  <si>
    <t>gurdipsaluja@eartyhling.net</t>
  </si>
  <si>
    <t>kosher</t>
  </si>
  <si>
    <t>Atelier - cocoa</t>
  </si>
  <si>
    <t>ruth.ateliercocoa@gmail.com</t>
  </si>
  <si>
    <t>347-228-1568</t>
  </si>
  <si>
    <t xml:space="preserve">Athens cafe </t>
  </si>
  <si>
    <t>718-626-2164</t>
  </si>
  <si>
    <t>GFI</t>
  </si>
  <si>
    <t>Atlanta Foods International</t>
  </si>
  <si>
    <t>aholcomb@gfifoods.com</t>
  </si>
  <si>
    <t>Phone 404-688-1315</t>
  </si>
  <si>
    <t>Atlantic Steamers Supply</t>
  </si>
  <si>
    <t>Hoboken location shows closed</t>
  </si>
  <si>
    <t>201-531-1199</t>
  </si>
  <si>
    <t>AUNT BUTCHIES</t>
  </si>
  <si>
    <t>frank@auntbutchies.com</t>
  </si>
  <si>
    <t>tel:+17182562933</t>
  </si>
  <si>
    <t xml:space="preserve">Aurora - Jeff  - </t>
  </si>
  <si>
    <t>Organic Beans in tootes</t>
  </si>
  <si>
    <t>BAL Mrkg</t>
  </si>
  <si>
    <t>Aurora Products - Candy</t>
  </si>
  <si>
    <t>CInoa@AuroraProduct.com</t>
  </si>
  <si>
    <t>Danny</t>
  </si>
  <si>
    <t>Ilan</t>
  </si>
  <si>
    <t>Austin Nut</t>
  </si>
  <si>
    <t>doron@austinuts.com</t>
  </si>
  <si>
    <t>512-272-8007 x 215 Rene</t>
  </si>
  <si>
    <t>512-762-8390 Doron owner cell</t>
  </si>
  <si>
    <t>Danny handles</t>
  </si>
  <si>
    <t>Ava Spices</t>
  </si>
  <si>
    <t>Avico Spice</t>
  </si>
  <si>
    <t>B Shibolet </t>
  </si>
  <si>
    <t>Closed</t>
  </si>
  <si>
    <t>B&amp;J Bakery - Issa</t>
  </si>
  <si>
    <t>issabakery@gmail.com</t>
  </si>
  <si>
    <t>tel:+19736504373</t>
  </si>
  <si>
    <t>s</t>
  </si>
  <si>
    <t xml:space="preserve">Bake Mark </t>
  </si>
  <si>
    <t>matthew.blauvelt@bakemark.com</t>
  </si>
  <si>
    <t>Bake Mark *** Other locations</t>
  </si>
  <si>
    <t>Bake Mark Calif</t>
  </si>
  <si>
    <t>jeff.klein@bakemark.com</t>
  </si>
  <si>
    <t>*** SCAM DO NOT SELL***</t>
  </si>
  <si>
    <t>Bake Mark Miami</t>
  </si>
  <si>
    <t>Diana Rizo &lt;Diana.Rizo@bakemark.com&gt;</t>
  </si>
  <si>
    <t>Diana Brito &lt;Diana.Brito@bakemark.com&gt;</t>
  </si>
  <si>
    <t xml:space="preserve">Bake Mark Miami - Caribbean </t>
  </si>
  <si>
    <t>Martin Zakour &lt;Martin.Zakour@bakemark.com&gt;</t>
  </si>
  <si>
    <t>Elon Williams &lt;Elon.Williams@bakemark.com&gt;</t>
  </si>
  <si>
    <t>Bake Mark NY</t>
  </si>
  <si>
    <t>Baked By Noon - Granola Clusters</t>
  </si>
  <si>
    <t xml:space="preserve">Baked by Noon Granola </t>
  </si>
  <si>
    <t>Baked by noon LLC</t>
  </si>
  <si>
    <t>only 3cs NH order PU Small ???</t>
  </si>
  <si>
    <t>Bakers Depot LLC</t>
  </si>
  <si>
    <t>purchasing@bakersusa.com</t>
  </si>
  <si>
    <t>201-374-8608</t>
  </si>
  <si>
    <t>Balady</t>
  </si>
  <si>
    <t>essa@baladymarket.com</t>
  </si>
  <si>
    <t>tel:+17185672252</t>
  </si>
  <si>
    <t>a</t>
  </si>
  <si>
    <t>Banjaras Inc</t>
  </si>
  <si>
    <t>Raunak Saluja &lt;gurdipsaluja@earthlink.net&gt;</t>
  </si>
  <si>
    <t>Sonu Banjaras &lt;sonu@banjaras.com&gt;</t>
  </si>
  <si>
    <t>Del</t>
  </si>
  <si>
    <t>BAL</t>
  </si>
  <si>
    <t>Barakat Halal Market</t>
  </si>
  <si>
    <t>khalibabury@yahoo.com</t>
  </si>
  <si>
    <t>718-793-6991</t>
  </si>
  <si>
    <t>Barzini</t>
  </si>
  <si>
    <t>tel:+12128744992</t>
  </si>
  <si>
    <t>Basshus west India</t>
  </si>
  <si>
    <t>Bata Food</t>
  </si>
  <si>
    <t xml:space="preserve">12029858076 cell - 201-5094969 direct </t>
  </si>
  <si>
    <t>dora@batafood.com</t>
  </si>
  <si>
    <t>Dora Baysefer sales mgr N.America</t>
  </si>
  <si>
    <t>www.batafood.com</t>
  </si>
  <si>
    <t>Bayridge Bakery also has Two Fields Bakeshop Sterling NJ</t>
  </si>
  <si>
    <t>7805 5th Ave, Brooklyn NY 11209</t>
  </si>
  <si>
    <t>718-238-0014</t>
  </si>
  <si>
    <t>Bayside  718-225-5200</t>
  </si>
  <si>
    <t>41-06 Bell Blvd, Queens, NY 11361</t>
  </si>
  <si>
    <t>Bcuzz Snacks</t>
  </si>
  <si>
    <t>BDS Distributors</t>
  </si>
  <si>
    <t xml:space="preserve">29 Brooklyn Terminal Market Brklyn </t>
  </si>
  <si>
    <t>718-444-2526</t>
  </si>
  <si>
    <t>Beaver Meadow Creamery Inc</t>
  </si>
  <si>
    <t>House</t>
  </si>
  <si>
    <t xml:space="preserve">Bedessee </t>
  </si>
  <si>
    <t>Verman@bedessee.com</t>
  </si>
  <si>
    <t>718-272-1300</t>
  </si>
  <si>
    <t>Beer Nuts</t>
  </si>
  <si>
    <t>Died</t>
  </si>
  <si>
    <t>Beirut Middle Eastrn Food</t>
  </si>
  <si>
    <t>beirutmideastfood@gmail.com</t>
  </si>
  <si>
    <t>973-278-7500</t>
  </si>
  <si>
    <t>FL</t>
  </si>
  <si>
    <t>DDV-working</t>
  </si>
  <si>
    <t xml:space="preserve">Bekdash Ice Cream - Tampa Fl </t>
  </si>
  <si>
    <t>224-418-7867</t>
  </si>
  <si>
    <t>Belgium - Turkey - Moonachie NJ</t>
  </si>
  <si>
    <t xml:space="preserve">Manu in Tky- Pist a lot chopped </t>
  </si>
  <si>
    <t>info@lezzafoods.com</t>
  </si>
  <si>
    <t xml:space="preserve">Ben E. Keith Company - HQ -Forth Worth Tx </t>
  </si>
  <si>
    <t>Bendito Grain</t>
  </si>
  <si>
    <t xml:space="preserve"> 646 712 22 74</t>
  </si>
  <si>
    <t xml:space="preserve">Berry Farm  </t>
  </si>
  <si>
    <t>4326 Ditmars Blvdd, Astoria, NY 11105</t>
  </si>
  <si>
    <t>718-204-1662</t>
  </si>
  <si>
    <t>NJ</t>
  </si>
  <si>
    <t>Best Foods - NJ</t>
  </si>
  <si>
    <t>awparacha@gmail.com</t>
  </si>
  <si>
    <t>tel:+17322870166</t>
  </si>
  <si>
    <t>problem BAL</t>
  </si>
  <si>
    <t>Best Foods C&amp;C Maspeth</t>
  </si>
  <si>
    <t>732-650-1300  ?</t>
  </si>
  <si>
    <t>57-30 56thSt, Maspeth NY</t>
  </si>
  <si>
    <t xml:space="preserve">Problem </t>
  </si>
  <si>
    <t>Best Yet Supermarket</t>
  </si>
  <si>
    <t>Sunco &amp; Fre</t>
  </si>
  <si>
    <t>Bhavik</t>
  </si>
  <si>
    <t>A-active</t>
  </si>
  <si>
    <t>Big Market Inc</t>
  </si>
  <si>
    <t>tel:+17183250999</t>
  </si>
  <si>
    <t>Maine</t>
  </si>
  <si>
    <t>Big Papous Kitchen</t>
  </si>
  <si>
    <t>nothing in QB</t>
  </si>
  <si>
    <t>Big Y World Class Market or Big Y Supermarket -</t>
  </si>
  <si>
    <t>1-800-828-2688 customer support</t>
  </si>
  <si>
    <t>Bindi North America</t>
  </si>
  <si>
    <t>jgonzalez@bindiusa.com</t>
  </si>
  <si>
    <t>973-812-8118 Juanita</t>
  </si>
  <si>
    <t>Blooms Kosher/ Blooms packaging</t>
  </si>
  <si>
    <t>Eli@bloomskosher.com</t>
  </si>
  <si>
    <t>Danny Handles</t>
  </si>
  <si>
    <t>Blue Star Direct</t>
  </si>
  <si>
    <t>swaroop7415@gmail.com</t>
  </si>
  <si>
    <t>201-982-6547</t>
  </si>
  <si>
    <t>Ilans ??</t>
  </si>
  <si>
    <t xml:space="preserve">Blue Tractor Foods </t>
  </si>
  <si>
    <t>chris@bluetractorfoods.com</t>
  </si>
  <si>
    <t>tel:+14403181788</t>
  </si>
  <si>
    <t>Bob Starr  - Simply Nut House</t>
  </si>
  <si>
    <t>Bobbys Sues</t>
  </si>
  <si>
    <t>Bountiful Pantry</t>
  </si>
  <si>
    <t>Bozzuto's inc - Cheshire CT</t>
  </si>
  <si>
    <t>Brahm Foods</t>
  </si>
  <si>
    <t>gurukripafoods@gmail.com</t>
  </si>
  <si>
    <t>718-360-0590  917-783-4963</t>
  </si>
  <si>
    <t>56-06 56th St, Maspeth, NY 11378</t>
  </si>
  <si>
    <t>Brooklyn Granola LLC</t>
  </si>
  <si>
    <t>Sunrise</t>
  </si>
  <si>
    <t>House of Spice</t>
  </si>
  <si>
    <t>Brooklyn, NY 11236</t>
  </si>
  <si>
    <t>COD customer</t>
  </si>
  <si>
    <t>Buddha Bodi</t>
  </si>
  <si>
    <t>tel:+17189391188</t>
  </si>
  <si>
    <t>Buyer/panner FM Brothers 800-334-8816 x 6251</t>
  </si>
  <si>
    <t>AngelaWatson@fmbrown.com</t>
  </si>
  <si>
    <t>petinfo@fmbrown.com</t>
  </si>
  <si>
    <t>By George Food Specialties</t>
  </si>
  <si>
    <t>518-885-1460</t>
  </si>
  <si>
    <t>Bazzini LLC</t>
  </si>
  <si>
    <t>1035 Mill Road, Allentown PA 18106</t>
  </si>
  <si>
    <t>610-366-1606</t>
  </si>
  <si>
    <t>DDV - working</t>
  </si>
  <si>
    <t>C and J Food Dist</t>
  </si>
  <si>
    <t>candjquality@gmail.com</t>
  </si>
  <si>
    <t>N-nonactive</t>
  </si>
  <si>
    <t>Bronx</t>
  </si>
  <si>
    <t>C Kenneth Imports - 718-378-8400x0</t>
  </si>
  <si>
    <t>fermin.l@ckennethimports.com</t>
  </si>
  <si>
    <t>schung@ckennethimports.com</t>
  </si>
  <si>
    <t>C&amp;J Food Distributor</t>
  </si>
  <si>
    <t>tel:+15169246119</t>
  </si>
  <si>
    <t>Ilan ?</t>
  </si>
  <si>
    <t>C&amp;J Quality - Premier Food Distributor</t>
  </si>
  <si>
    <t xml:space="preserve">Chris Dubato 631-249-3241 </t>
  </si>
  <si>
    <t xml:space="preserve">Danny </t>
  </si>
  <si>
    <t>Canada Nut -  William Crawford</t>
  </si>
  <si>
    <t>wcrawford@canadanut.ca</t>
  </si>
  <si>
    <t>450-669-7729 or cell 514-241-9719</t>
  </si>
  <si>
    <t>Canelle Potisserie</t>
  </si>
  <si>
    <t>https://cannellepatisserie.com</t>
  </si>
  <si>
    <t>tel:+17185656200</t>
  </si>
  <si>
    <t>Cannelle Patisserie</t>
  </si>
  <si>
    <t>Cannoli Plus Cakes</t>
  </si>
  <si>
    <t>cannolipluscakes@gmail.com</t>
  </si>
  <si>
    <t>718 256-2933 </t>
  </si>
  <si>
    <t>Captin Jack</t>
  </si>
  <si>
    <t>tel:+17274572938</t>
  </si>
  <si>
    <t>Carmel Groceries</t>
  </si>
  <si>
    <t>Carnegie Deli &amp; Restaurant</t>
  </si>
  <si>
    <t>BL Trading</t>
  </si>
  <si>
    <t>s-semiactive</t>
  </si>
  <si>
    <t>Cascon Cheesecake</t>
  </si>
  <si>
    <t>Castor Discount</t>
  </si>
  <si>
    <t>owner retired - building sold - business closed</t>
  </si>
  <si>
    <t>tel:+12157286266</t>
  </si>
  <si>
    <t>Caudill Seed / Health Food Disvision</t>
  </si>
  <si>
    <t>Bird Feed</t>
  </si>
  <si>
    <t>seed@caudillseed.com</t>
  </si>
  <si>
    <t>Dawn - working</t>
  </si>
  <si>
    <t xml:space="preserve">Cecil Campbell FM Browns </t>
  </si>
  <si>
    <t>cecil.camobell &amp; petinf@fmbrown</t>
  </si>
  <si>
    <t>Cedar Barista</t>
  </si>
  <si>
    <t>nilka@cedarbarista.com</t>
  </si>
  <si>
    <t>tel:+12013729490</t>
  </si>
  <si>
    <t>Cedar Farms Foodservice Dist  Phili PA</t>
  </si>
  <si>
    <t>Chalouh Market</t>
  </si>
  <si>
    <t>718-637-7270 store</t>
  </si>
  <si>
    <t>917-687-7785 Mordy cell</t>
  </si>
  <si>
    <t>718 Avenue U, Brooklyn, NY 11223</t>
  </si>
  <si>
    <t>Chattanooga Restaurant</t>
  </si>
  <si>
    <t>tel:+15164874455</t>
  </si>
  <si>
    <t>Cheney Brothers Inc - Tifton GA</t>
  </si>
  <si>
    <t>Number of locations in FL &amp; NC</t>
  </si>
  <si>
    <t>Turkish</t>
  </si>
  <si>
    <t xml:space="preserve">Cherry Hill Gourmet </t>
  </si>
  <si>
    <t>718-616-1900</t>
  </si>
  <si>
    <t>1901 Emmons, Brooklyn, NY 11235</t>
  </si>
  <si>
    <t>Cherry Hill Market</t>
  </si>
  <si>
    <t>718-373-4900</t>
  </si>
  <si>
    <t>2284 86th St, Ste 1,  Brooklyn NY 11214</t>
  </si>
  <si>
    <t>?? Ilan</t>
  </si>
  <si>
    <t>Chick Please</t>
  </si>
  <si>
    <t>tel:+13125645770</t>
  </si>
  <si>
    <t>Kosher</t>
  </si>
  <si>
    <t>Chiffon's Bakery</t>
  </si>
  <si>
    <t>tel:+17182588822</t>
  </si>
  <si>
    <t>A-A</t>
  </si>
  <si>
    <t>DDV-Danny</t>
  </si>
  <si>
    <t>Chookie - Zev</t>
  </si>
  <si>
    <t>Chowpatty Restaurant</t>
  </si>
  <si>
    <t>Chris Cookies</t>
  </si>
  <si>
    <t>Christina Spice &amp; Specialty Foods</t>
  </si>
  <si>
    <t>Chung Chow City</t>
  </si>
  <si>
    <t>tel:+12122749338</t>
  </si>
  <si>
    <t>Circus Wholesale /Citrus Fruit Whole</t>
  </si>
  <si>
    <t>circusfruits@hotmail.com</t>
  </si>
  <si>
    <t>718-436-2100</t>
  </si>
  <si>
    <t>917-589-2776 Tony cell</t>
  </si>
  <si>
    <t>Citadel Foods</t>
  </si>
  <si>
    <t xml:space="preserve"> alex@citadelfoods.com</t>
  </si>
  <si>
    <t>(718) 392-6632</t>
  </si>
  <si>
    <t>Citadella Foods - Zabars- Zaros</t>
  </si>
  <si>
    <t>tel:+17183926632</t>
  </si>
  <si>
    <t>City Baking</t>
  </si>
  <si>
    <t>citybaking@aol.com</t>
  </si>
  <si>
    <t>tel:+17183928514</t>
  </si>
  <si>
    <t>ct</t>
  </si>
  <si>
    <t>City Line Distributors - West Haven, CT</t>
  </si>
  <si>
    <t>ndonofrio@citylinefoods.com</t>
  </si>
  <si>
    <t>tel:+12039313707</t>
  </si>
  <si>
    <t>OU</t>
  </si>
  <si>
    <t>City Nut &amp; Candy</t>
  </si>
  <si>
    <t>sales@citynutandcandyonline.com</t>
  </si>
  <si>
    <t>tel:+19549294311</t>
  </si>
  <si>
    <t>Clover Dist</t>
  </si>
  <si>
    <t>clovernewyork@msn.com</t>
  </si>
  <si>
    <t>tel:+17187296721</t>
  </si>
  <si>
    <t>Mike</t>
  </si>
  <si>
    <t>Coluccio &amp; Sons</t>
  </si>
  <si>
    <t>dcoluccio.rosalie@gmail.com</t>
  </si>
  <si>
    <t>tel:+17184366700</t>
  </si>
  <si>
    <t>Commodore chocolatier</t>
  </si>
  <si>
    <t>jgcourt@chocolaeusa.com</t>
  </si>
  <si>
    <t>845-561-3960</t>
  </si>
  <si>
    <t>Confetti Restaurant</t>
  </si>
  <si>
    <t>Copacker Kian from Seven Seas Import</t>
  </si>
  <si>
    <t>kian@7seasimport.com</t>
  </si>
  <si>
    <t>Corado</t>
  </si>
  <si>
    <t>Corados Market - Peter</t>
  </si>
  <si>
    <t>tel:973203408590</t>
  </si>
  <si>
    <t>Covered Wagon Almonds</t>
  </si>
  <si>
    <t>fosterelee@hotmail.com</t>
  </si>
  <si>
    <t>tel:+12176593501</t>
  </si>
  <si>
    <t xml:space="preserve">Creative Snacks Co - High Point NH </t>
  </si>
  <si>
    <t>Bob</t>
  </si>
  <si>
    <t>Cross Island fruit</t>
  </si>
  <si>
    <t>crossisland10@aol.com</t>
  </si>
  <si>
    <t>tel:+15168879445</t>
  </si>
  <si>
    <t xml:space="preserve">Crown Supermarket </t>
  </si>
  <si>
    <t>tel:+18602361965</t>
  </si>
  <si>
    <t>Crystal Temptations</t>
  </si>
  <si>
    <t xml:space="preserve">tel:+12012467990  </t>
  </si>
  <si>
    <t>CSG Imports - Joseph Link</t>
  </si>
  <si>
    <t>tel:+17188097186</t>
  </si>
  <si>
    <t>Culinary World or mund Culinario</t>
  </si>
  <si>
    <t>Custom Bakers Inc Brklyn</t>
  </si>
  <si>
    <t>tel:+18458561210</t>
  </si>
  <si>
    <t>Upst</t>
  </si>
  <si>
    <t>Daily Pita</t>
  </si>
  <si>
    <t xml:space="preserve">New </t>
  </si>
  <si>
    <t xml:space="preserve">Dalis Distribution Co </t>
  </si>
  <si>
    <t>dalisdistributionas@yahoo.com</t>
  </si>
  <si>
    <t>773-679-4583</t>
  </si>
  <si>
    <t>Lina Granobles</t>
  </si>
  <si>
    <t>Wauconda Il 60084</t>
  </si>
  <si>
    <t>selling Flax seed from BAL</t>
  </si>
  <si>
    <t>Damascus Bakery</t>
  </si>
  <si>
    <t>ghassanmalti@gmail.com</t>
  </si>
  <si>
    <t>tel:+17186257070</t>
  </si>
  <si>
    <t xml:space="preserve">all fresh Produce &amp; Fruit </t>
  </si>
  <si>
    <t>Dan Capone - John Vena Inc</t>
  </si>
  <si>
    <t>tel:+12153360766</t>
  </si>
  <si>
    <t>n</t>
  </si>
  <si>
    <t>Darious Date Cooke</t>
  </si>
  <si>
    <t>info@dariousdatecookie.com</t>
  </si>
  <si>
    <t>Neda Rafiezadeh Kermani</t>
  </si>
  <si>
    <t>Dave Brockney</t>
  </si>
  <si>
    <t>tel:+14135623427</t>
  </si>
  <si>
    <t>David - Fames Chocolate</t>
  </si>
  <si>
    <t>tel:+17182462813</t>
  </si>
  <si>
    <t>David Bujese - Lyman Orchards</t>
  </si>
  <si>
    <t>tel:+18603496009</t>
  </si>
  <si>
    <t>BIDS T/L</t>
  </si>
  <si>
    <t>Deep Foods / Chetak Chicago</t>
  </si>
  <si>
    <t>akhilnt@gochetak.com</t>
  </si>
  <si>
    <t>630-999-0960</t>
  </si>
  <si>
    <t>a-active</t>
  </si>
  <si>
    <t>Delicious Desserts</t>
  </si>
  <si>
    <t>dess78@aol.com  </t>
  </si>
  <si>
    <t>718 369-6699 </t>
  </si>
  <si>
    <t>Dena Trading Co</t>
  </si>
  <si>
    <t xml:space="preserve">M02 Sheikh Hasher Building, Al Ras Area, Khor St, PO Box 4131 Dubai UAE </t>
  </si>
  <si>
    <t xml:space="preserve">Dependable Foods </t>
  </si>
  <si>
    <t>chesky.t@dependablefood.com</t>
  </si>
  <si>
    <t xml:space="preserve">Depot Bakers </t>
  </si>
  <si>
    <t>305-391-2039</t>
  </si>
  <si>
    <t>Destefano Foods - Christopher DEStanfano Foods Inc</t>
  </si>
  <si>
    <t>chris@destefanofoods.com</t>
  </si>
  <si>
    <t xml:space="preserve">732-735-1600 cell - Owner </t>
  </si>
  <si>
    <t>some 5lb</t>
  </si>
  <si>
    <t>jay@destefanofoods.com</t>
  </si>
  <si>
    <t>Dist</t>
  </si>
  <si>
    <t>DDV- working</t>
  </si>
  <si>
    <t>Dial Industries - Greenvale NY</t>
  </si>
  <si>
    <t>Diamond Foods Wholesale in MN</t>
  </si>
  <si>
    <t>612-354-7042 cant find website</t>
  </si>
  <si>
    <t xml:space="preserve">DiBruno Wholesale </t>
  </si>
  <si>
    <t>tel:+12155991363</t>
  </si>
  <si>
    <t>DiCarlo</t>
  </si>
  <si>
    <t>schadha@dicarlofood.com</t>
  </si>
  <si>
    <t>631-758-6000</t>
  </si>
  <si>
    <t>isnt the import to Israel Dannys deal</t>
  </si>
  <si>
    <t>Din Marketing and Roasting LTD</t>
  </si>
  <si>
    <t>din.allall@gmail.com</t>
  </si>
  <si>
    <t>650-714-4575</t>
  </si>
  <si>
    <t xml:space="preserve"> Din (owner) also - Ria -Tami</t>
  </si>
  <si>
    <t>Divine Taste</t>
  </si>
  <si>
    <t>dvinetaste@aol.com</t>
  </si>
  <si>
    <t>718-369-9548</t>
  </si>
  <si>
    <t>150 7th Ave , Brooklyn 11215</t>
  </si>
  <si>
    <t>DDV/House</t>
  </si>
  <si>
    <t>DMO Ventures</t>
  </si>
  <si>
    <t>dmoventuresinc@gmail.com</t>
  </si>
  <si>
    <t>Omar / Idris</t>
  </si>
  <si>
    <t>Dolce Amore</t>
  </si>
  <si>
    <t>umberto@dolceamoreny.com</t>
  </si>
  <si>
    <t>917-559-5010 cell</t>
  </si>
  <si>
    <t>Domino Intl Food</t>
  </si>
  <si>
    <t>newdomino1824@gmail.com</t>
  </si>
  <si>
    <t>tel:+17186274008</t>
  </si>
  <si>
    <t>Dong Dong Chen</t>
  </si>
  <si>
    <t>516-262-1057</t>
  </si>
  <si>
    <t>4002 Main St, Flushing NY 11355</t>
  </si>
  <si>
    <t>Dons Salads</t>
  </si>
  <si>
    <t>N</t>
  </si>
  <si>
    <t>Doro Foods -Halil Agcayaki</t>
  </si>
  <si>
    <t>halil@dorofoods.com</t>
  </si>
  <si>
    <t>tel:+13475924494</t>
  </si>
  <si>
    <t>Brk</t>
  </si>
  <si>
    <t>Dough ( see a Fan Fan Doughnut at this location )</t>
  </si>
  <si>
    <t xml:space="preserve">Driscol </t>
  </si>
  <si>
    <t>877-593-6637</t>
  </si>
  <si>
    <t>Driscoll Foods - Stroudsburg PA also, NJ &amp; NY</t>
  </si>
  <si>
    <t>Dubai is Dena Nuts (contact Farshad Sohbati )   </t>
  </si>
  <si>
    <t>Order of Cranb from NH canceled</t>
  </si>
  <si>
    <t>Reinstated for 10% down paymnet</t>
  </si>
  <si>
    <t>Eagle Spice - Rubin</t>
  </si>
  <si>
    <t>ruben@eaglespices.com</t>
  </si>
  <si>
    <t>tel:+17189273600</t>
  </si>
  <si>
    <t>Eastern Food Service - Laurel MD</t>
  </si>
  <si>
    <t>Eastern Fruit &amp; Veg</t>
  </si>
  <si>
    <t>a.jhangir@yahoo.com</t>
  </si>
  <si>
    <t>tel:+17183383747</t>
  </si>
  <si>
    <t>NYC</t>
  </si>
  <si>
    <t>Economy Candy</t>
  </si>
  <si>
    <t>economycandy@aol.com</t>
  </si>
  <si>
    <t>tel:+12122541832</t>
  </si>
  <si>
    <t>Edelwise Pottisserie</t>
  </si>
  <si>
    <t>davidtopian@comcast.net</t>
  </si>
  <si>
    <t>tel:+17816280225</t>
  </si>
  <si>
    <t xml:space="preserve">Eden Food Market / Zion kosher mrkt </t>
  </si>
  <si>
    <t>718-436-6510</t>
  </si>
  <si>
    <t>3802 13th Ave, Brooklyn, 11248</t>
  </si>
  <si>
    <t xml:space="preserve">Eilat Meats </t>
  </si>
  <si>
    <t>kabobsir@yahoo.com</t>
  </si>
  <si>
    <t>tel:+15168298181</t>
  </si>
  <si>
    <t>S</t>
  </si>
  <si>
    <t>Eli's Bread - Ousmane</t>
  </si>
  <si>
    <t>ousmane@elizabar.com</t>
  </si>
  <si>
    <t>Ousmane Dialene -  (413) 246-0962</t>
  </si>
  <si>
    <t>Elona Weiner - Segev Foods Int</t>
  </si>
  <si>
    <t>sfi1@verizon.net</t>
  </si>
  <si>
    <t>tel:+15168291122</t>
  </si>
  <si>
    <t>Empress Chocolate</t>
  </si>
  <si>
    <t>Epicure Market - FL</t>
  </si>
  <si>
    <t>Dawn</t>
  </si>
  <si>
    <t>ESG Brands</t>
  </si>
  <si>
    <t>efraim@esgbrandsinc.com</t>
  </si>
  <si>
    <t>Efraim - 800-315-1666</t>
  </si>
  <si>
    <t>eSutras Organics</t>
  </si>
  <si>
    <t>Nope</t>
  </si>
  <si>
    <t>Eterna Tea &amp; Coffee</t>
  </si>
  <si>
    <t>cpetreski1@yahoo.com</t>
  </si>
  <si>
    <t>tel:+19735234999</t>
  </si>
  <si>
    <t>Eurama Foods</t>
  </si>
  <si>
    <t>A</t>
  </si>
  <si>
    <t xml:space="preserve">Supplier </t>
  </si>
  <si>
    <t>Euro Goods</t>
  </si>
  <si>
    <t>eurogoodsinc@gmail.com</t>
  </si>
  <si>
    <t>tel:+19733781008</t>
  </si>
  <si>
    <t>n-</t>
  </si>
  <si>
    <t>Eurogerm KB</t>
  </si>
  <si>
    <t xml:space="preserve">evelez@eurogerm-kb.com </t>
  </si>
  <si>
    <t>Erica 973-426-9100 x206</t>
  </si>
  <si>
    <t>Evoke Healthy Foods</t>
  </si>
  <si>
    <t>585 205 8675</t>
  </si>
  <si>
    <t>Encore Foods</t>
  </si>
  <si>
    <t>F Nortman &amp; Sons -Brklyn</t>
  </si>
  <si>
    <t>tel:+17186295946</t>
  </si>
  <si>
    <t>Brkyn</t>
  </si>
  <si>
    <t>Falafa Pita</t>
  </si>
  <si>
    <t>levi@falafapita.com</t>
  </si>
  <si>
    <t>718-705-9096</t>
  </si>
  <si>
    <t>347-731-2012 cell</t>
  </si>
  <si>
    <t>malky@falafelim.com</t>
  </si>
  <si>
    <t>Falafelim</t>
  </si>
  <si>
    <t>Chick please</t>
  </si>
  <si>
    <t>Falefelim he sells through CjickPlease</t>
  </si>
  <si>
    <t>Family Bakery *** no website no info</t>
  </si>
  <si>
    <t>718-748-4500</t>
  </si>
  <si>
    <t>6726 5th Ave,Brklyn</t>
  </si>
  <si>
    <t>Family Food Distributors - Kearny NJ</t>
  </si>
  <si>
    <t>Family of Nuts</t>
  </si>
  <si>
    <t>info@familyofnuts.com</t>
  </si>
  <si>
    <t>rzumot@familyofnuts.com</t>
  </si>
  <si>
    <t>Family Store - Bayridge</t>
  </si>
  <si>
    <t>tel:+17187480207</t>
  </si>
  <si>
    <t>NY Brx</t>
  </si>
  <si>
    <t>Fancy Foods - Perianus</t>
  </si>
  <si>
    <t>tel:+17183451776</t>
  </si>
  <si>
    <t>Faris Foods - Persian</t>
  </si>
  <si>
    <t>cactous@aol.com</t>
  </si>
  <si>
    <t>tel:+12154279383</t>
  </si>
  <si>
    <t>Farm Fresh - BRIAN</t>
  </si>
  <si>
    <t>sales@farmfreshny.com</t>
  </si>
  <si>
    <t>tel:+17186651001</t>
  </si>
  <si>
    <t>Feeser's Food Dist</t>
  </si>
  <si>
    <t>800-326-2828</t>
  </si>
  <si>
    <t>PA Harrisburg</t>
  </si>
  <si>
    <t>Feeser's Food Distributors</t>
  </si>
  <si>
    <t>844-311-6349</t>
  </si>
  <si>
    <t>717-564-4636</t>
  </si>
  <si>
    <t>Fiegmund Strauss - Stanley/Frankie</t>
  </si>
  <si>
    <t>CLOSED location</t>
  </si>
  <si>
    <t>tel:+17189932300</t>
  </si>
  <si>
    <t xml:space="preserve">Fillo Factory - the </t>
  </si>
  <si>
    <t xml:space="preserve">alazicki@fillorfactory.com </t>
  </si>
  <si>
    <t>201-439-1036 / Alissa 732-730-9310 x123</t>
  </si>
  <si>
    <t>Fischer Foods</t>
  </si>
  <si>
    <t>tel:+18452687300</t>
  </si>
  <si>
    <t xml:space="preserve">Five Brothers </t>
  </si>
  <si>
    <t>Flamingo Bakery</t>
  </si>
  <si>
    <t>Flaums Appetizing Corp</t>
  </si>
  <si>
    <t>davidr@flaums.com</t>
  </si>
  <si>
    <t xml:space="preserve">718-821-1970 X213 </t>
  </si>
  <si>
    <t>718-821-1970</t>
  </si>
  <si>
    <t xml:space="preserve">Floyds market / Nut Factory Trade  </t>
  </si>
  <si>
    <t>Food Feast</t>
  </si>
  <si>
    <t>Food for Health  - Organic</t>
  </si>
  <si>
    <t>foodforhealthny@aol.com</t>
  </si>
  <si>
    <t>tel:+12123699202</t>
  </si>
  <si>
    <t>Food to Live</t>
  </si>
  <si>
    <t>alisher@foodtolive.com</t>
  </si>
  <si>
    <t>347-713-4968</t>
  </si>
  <si>
    <t>Lexunder Inc dba Food to Live</t>
  </si>
  <si>
    <t>Food town</t>
  </si>
  <si>
    <t>tel:+19176583884</t>
  </si>
  <si>
    <t>Foods Galore Inc</t>
  </si>
  <si>
    <t>800-220-0123 x 4 purchasing ( 8 people)</t>
  </si>
  <si>
    <t>Foods of India NYC ( see New Foods of India )</t>
  </si>
  <si>
    <t>tel:+12126834419</t>
  </si>
  <si>
    <t xml:space="preserve">121 Lexington Ave, </t>
  </si>
  <si>
    <t xml:space="preserve">For Love of Lemon Cookies </t>
  </si>
  <si>
    <t>Jasmine Muqbel 516-508-2395</t>
  </si>
  <si>
    <t>jasmine@forloveoflemoncookies.com</t>
  </si>
  <si>
    <t xml:space="preserve">Foremost Caterers </t>
  </si>
  <si>
    <t xml:space="preserve">Kosher </t>
  </si>
  <si>
    <t>201-664-2465</t>
  </si>
  <si>
    <t>Robert cell 917-453-1961</t>
  </si>
  <si>
    <t>65 Anderson Ave, Moonachie NJ 07074</t>
  </si>
  <si>
    <t>ForeMost Caterers - KOSHER - Robert</t>
  </si>
  <si>
    <t>roberts@foremostcaterers.com</t>
  </si>
  <si>
    <t>Cell 917-709-9185</t>
  </si>
  <si>
    <t>Forest Hills  718-544-0088</t>
  </si>
  <si>
    <t>70-28 Austin St, Queens, NY 11375</t>
  </si>
  <si>
    <t>Four seasons bakery</t>
  </si>
  <si>
    <t>718 693- 7995  or 7996 </t>
  </si>
  <si>
    <t>2281 Church Ae, Brooklyn, 11226</t>
  </si>
  <si>
    <t>Four Seasons Market</t>
  </si>
  <si>
    <t>aurora list</t>
  </si>
  <si>
    <t>Fox Syrups</t>
  </si>
  <si>
    <t xml:space="preserve">French Food Exports </t>
  </si>
  <si>
    <t>201-867-2151</t>
  </si>
  <si>
    <t>Bx</t>
  </si>
  <si>
    <t xml:space="preserve">Fresco Products </t>
  </si>
  <si>
    <t>929-222-5392</t>
  </si>
  <si>
    <t>Manuf</t>
  </si>
  <si>
    <t xml:space="preserve">Fresh Made Inc ( Cheese Comp) </t>
  </si>
  <si>
    <t>olegk@lifeway.net</t>
  </si>
  <si>
    <t>tel:+2157259013</t>
  </si>
  <si>
    <t>G &amp; I Bakery</t>
  </si>
  <si>
    <t xml:space="preserve">this location is closed </t>
  </si>
  <si>
    <t># 718 481-7000</t>
  </si>
  <si>
    <t>G &amp; I Kosher Bakery 6940 Main St, Flushing NY 11367 718-261-1155</t>
  </si>
  <si>
    <t>G S Enterprices</t>
  </si>
  <si>
    <t>Gabriella Salgado</t>
  </si>
  <si>
    <t>tel:+27113974685</t>
  </si>
  <si>
    <t>Gala Apple Supermkt</t>
  </si>
  <si>
    <t>718 686-7590 </t>
  </si>
  <si>
    <t>Gargiulo Produce - Hillside NJ</t>
  </si>
  <si>
    <t xml:space="preserve">don’t see any dry goods </t>
  </si>
  <si>
    <t>George Hadad - Lana Distributors</t>
  </si>
  <si>
    <t>Canadian Comp - JAB</t>
  </si>
  <si>
    <t>tel:+15146316555</t>
  </si>
  <si>
    <t>Geshmak Foods</t>
  </si>
  <si>
    <t>Location CLOSED</t>
  </si>
  <si>
    <t>973 684-4000?  this is all we have   find out ? </t>
  </si>
  <si>
    <t xml:space="preserve">29 E25th St Paterson NJ 07514  </t>
  </si>
  <si>
    <t>Giordano Garden Groceries</t>
  </si>
  <si>
    <t>215-389-6500</t>
  </si>
  <si>
    <t>Gitto Market</t>
  </si>
  <si>
    <t>BAL Already sells them</t>
  </si>
  <si>
    <t>BAL Customer</t>
  </si>
  <si>
    <t>GKA Snacks</t>
  </si>
  <si>
    <t xml:space="preserve">Global Imports &amp; Exports </t>
  </si>
  <si>
    <t>email raywholesale@hotmail.com</t>
  </si>
  <si>
    <t>owner   Ray 347 561-2422</t>
  </si>
  <si>
    <t>107-27 180th st</t>
  </si>
  <si>
    <t>Jamaica, NY 11433 </t>
  </si>
  <si>
    <t xml:space="preserve">Global Imports Export </t>
  </si>
  <si>
    <t>tel:+19172662508</t>
  </si>
  <si>
    <t xml:space="preserve">Global Wholesale Market </t>
  </si>
  <si>
    <t>Golan Dry fruit</t>
  </si>
  <si>
    <t>Golden Chocolate</t>
  </si>
  <si>
    <t>Golden Chocolate Inc Brooklyn</t>
  </si>
  <si>
    <t>$$$</t>
  </si>
  <si>
    <t>Golden Glow Cookie Company</t>
  </si>
  <si>
    <t>tel:+17183796223</t>
  </si>
  <si>
    <t xml:space="preserve">Golden Lemon inc -Flamingo </t>
  </si>
  <si>
    <t xml:space="preserve">Golden Star </t>
  </si>
  <si>
    <t xml:space="preserve">** Prepay </t>
  </si>
  <si>
    <t>Golden Stream</t>
  </si>
  <si>
    <t>Neff</t>
  </si>
  <si>
    <t>Golden Taste Inc</t>
  </si>
  <si>
    <t>tel:+18453564133</t>
  </si>
  <si>
    <t>Golden Tropics</t>
  </si>
  <si>
    <t>tel:+19734840202</t>
  </si>
  <si>
    <t>Goldim LLC</t>
  </si>
  <si>
    <t>joel.ammar@gmail.com</t>
  </si>
  <si>
    <t>Good Fellas Dist</t>
  </si>
  <si>
    <t>email naser2019@gmail.com</t>
  </si>
  <si>
    <t>Ahmet owner cell 917 266-2508 </t>
  </si>
  <si>
    <t>6024 20th Ave</t>
  </si>
  <si>
    <t xml:space="preserve">Good Fellas Dist -6024 20th Ave,Brklyn </t>
  </si>
  <si>
    <t>Ahmed Naser owner cell 917 266-2508 </t>
  </si>
  <si>
    <t>Gordon Food Service Douglasville- Lithia Sprinsg GA</t>
  </si>
  <si>
    <t>GormetNut.com</t>
  </si>
  <si>
    <t>Morris@gourmetnut.com</t>
  </si>
  <si>
    <t>877-830-9030</t>
  </si>
  <si>
    <t xml:space="preserve">Gotham Greens  -Ryan </t>
  </si>
  <si>
    <t>973.493.2736</t>
  </si>
  <si>
    <t>Gourmet Bake Shop</t>
  </si>
  <si>
    <t>gourmetbake@hotmail.com</t>
  </si>
  <si>
    <t>516 354-3930</t>
  </si>
  <si>
    <t>775 Hillside Ave</t>
  </si>
  <si>
    <t>New Hyde Park, NY 11040</t>
  </si>
  <si>
    <t>Gourmet Boutique Mkt</t>
  </si>
  <si>
    <t>347 406 1793</t>
  </si>
  <si>
    <t>tel:+13474061793</t>
  </si>
  <si>
    <t>3688 Norstrand Ave</t>
  </si>
  <si>
    <t>Brooklyn, NY 11229</t>
  </si>
  <si>
    <t xml:space="preserve">Gourmet Fruits 730 Ave U </t>
  </si>
  <si>
    <t>646-773-7829</t>
  </si>
  <si>
    <t xml:space="preserve">Gourmet Garage </t>
  </si>
  <si>
    <t>Gourmet Nut &amp; Fruit</t>
  </si>
  <si>
    <t xml:space="preserve">NH </t>
  </si>
  <si>
    <t>Gourmet Plaza</t>
  </si>
  <si>
    <t>718 382-4537</t>
  </si>
  <si>
    <t>1663-69 E 13th st</t>
  </si>
  <si>
    <t>ups</t>
  </si>
  <si>
    <t>Graces Market</t>
  </si>
  <si>
    <t>516-621-5100</t>
  </si>
  <si>
    <t>81 Glen Cove Rd, Greenvale NY 11548</t>
  </si>
  <si>
    <t xml:space="preserve">Grandpas Garden / Allen Manuf </t>
  </si>
  <si>
    <t>sue@AllenMfgUSA.com</t>
  </si>
  <si>
    <t>207-333-3366</t>
  </si>
  <si>
    <t xml:space="preserve">Grandy Organics </t>
  </si>
  <si>
    <t>Grassland</t>
  </si>
  <si>
    <t>BIDS</t>
  </si>
  <si>
    <t>Gratefull Garlic</t>
  </si>
  <si>
    <t xml:space="preserve">Greek Food Emporium - astoria </t>
  </si>
  <si>
    <t>347-368-6516</t>
  </si>
  <si>
    <t xml:space="preserve">1252 150th st, Whitestone </t>
  </si>
  <si>
    <t>Green Bay Market</t>
  </si>
  <si>
    <t>Green Bay Market - Hasson</t>
  </si>
  <si>
    <t>tel:+17182046400</t>
  </si>
  <si>
    <t>Green Lake Produce &amp; Sea - Korean - Henry</t>
  </si>
  <si>
    <t>Green Mountain Food Service</t>
  </si>
  <si>
    <t>518-499-9101</t>
  </si>
  <si>
    <t>Green Sympothy - Korean - Jay</t>
  </si>
  <si>
    <t>tel:+12123914747</t>
  </si>
  <si>
    <t>GreenJeeva LLC</t>
  </si>
  <si>
    <t>rohit.n@greenjeeva.com</t>
  </si>
  <si>
    <t xml:space="preserve">Rohit Kumar Nayak </t>
  </si>
  <si>
    <t>Greenland  / Davidpro</t>
  </si>
  <si>
    <t>65-60 Fresh Meadow Lane, Fresh Meadows NY 11365</t>
  </si>
  <si>
    <t>Paul 917-916-4309</t>
  </si>
  <si>
    <t>Greenlawn Farm</t>
  </si>
  <si>
    <t>DDV- Org ?</t>
  </si>
  <si>
    <t>Grow Foods</t>
  </si>
  <si>
    <t>william@growfoods.net</t>
  </si>
  <si>
    <t xml:space="preserve">843-847-1346 Bill Organic Sultana </t>
  </si>
  <si>
    <t>Grow Foods  -  843-847-1346</t>
  </si>
  <si>
    <t>organic sultana raisin 1-2 pallets</t>
  </si>
  <si>
    <t>Guyana Best Trading</t>
  </si>
  <si>
    <t>Dee 646-600-3009</t>
  </si>
  <si>
    <t>parasramdeo@gmail.com</t>
  </si>
  <si>
    <t>H Schrier Foods ??</t>
  </si>
  <si>
    <t>HA Makolet</t>
  </si>
  <si>
    <t>HAIM INTERNATIONAL</t>
  </si>
  <si>
    <t>unitedccinc@aol.com</t>
  </si>
  <si>
    <t>tel:+17189694226</t>
  </si>
  <si>
    <t>Hale &amp; Hearty - Beans Blk-Pinto- Spices</t>
  </si>
  <si>
    <t>tel:+12122552400</t>
  </si>
  <si>
    <t xml:space="preserve">Hannas Gourmet - JR Spice </t>
  </si>
  <si>
    <t>jf@hannasgourmet.com</t>
  </si>
  <si>
    <t>631-588-2751</t>
  </si>
  <si>
    <t xml:space="preserve">  516-410-7923</t>
  </si>
  <si>
    <t>hannasgourmet@gmail.com</t>
  </si>
  <si>
    <t>Health Food International</t>
  </si>
  <si>
    <t>Anna / Alan owners son</t>
  </si>
  <si>
    <t>215-289-5750</t>
  </si>
  <si>
    <t>Hellas Bakery-</t>
  </si>
  <si>
    <t xml:space="preserve">Hickory Harvest </t>
  </si>
  <si>
    <t>Hillcrest Foods</t>
  </si>
  <si>
    <t>Balemark ???</t>
  </si>
  <si>
    <t>1 800-287-6586</t>
  </si>
  <si>
    <t xml:space="preserve">H-Mart - Korean </t>
  </si>
  <si>
    <t>tel:+12016748580</t>
  </si>
  <si>
    <t>Holon Dried Fruit</t>
  </si>
  <si>
    <t>info@holonfoods.com</t>
  </si>
  <si>
    <t>718-336-7758</t>
  </si>
  <si>
    <t>917-407-8636 Cell</t>
  </si>
  <si>
    <t>527 Kings Hwy, Brooklyn NY 11223</t>
  </si>
  <si>
    <t>Hot Mamas Food - Diced Mango</t>
  </si>
  <si>
    <t>Kingdom of Saudi Arabia</t>
  </si>
  <si>
    <t>Houe of Hospitality Trading Company</t>
  </si>
  <si>
    <t xml:space="preserve">Hail Saeed Al-Matari </t>
  </si>
  <si>
    <t>Riyadh, Al-Taamir Markets, Al-Deira District, Riyadh</t>
  </si>
  <si>
    <t xml:space="preserve">House of Fodera - Justin Gomez </t>
  </si>
  <si>
    <t>tel:+17184788000</t>
  </si>
  <si>
    <t>Humdard Pharmacy - CUPS dates, figs, apricots</t>
  </si>
  <si>
    <t>tel:+17187031800</t>
  </si>
  <si>
    <t>I Bake Fresh</t>
  </si>
  <si>
    <t>I Sifol LLC</t>
  </si>
  <si>
    <t>Iavarone Bros- New Hyde park</t>
  </si>
  <si>
    <t>kevinr@ibfoods.com</t>
  </si>
  <si>
    <t>tel:+15164885600</t>
  </si>
  <si>
    <t>1538 Union Turnpike, New Hyde Park, NY 11040</t>
  </si>
  <si>
    <t>Iavarone Wantagh</t>
  </si>
  <si>
    <t>IB Foods - Iberia ?</t>
  </si>
  <si>
    <t>Sams</t>
  </si>
  <si>
    <t>Iberia Foods Corp Lilburn GA</t>
  </si>
  <si>
    <t>Ibra Foods/ Noors House of Asia</t>
  </si>
  <si>
    <t>info@ibrafoods.com</t>
  </si>
  <si>
    <t>347-808-2001</t>
  </si>
  <si>
    <t>IL NUTS</t>
  </si>
  <si>
    <t>ilnuts2014@gmail.com</t>
  </si>
  <si>
    <t>305-454-9232</t>
  </si>
  <si>
    <t>yossef-roasting.com</t>
  </si>
  <si>
    <t xml:space="preserve">I'm a Nut </t>
  </si>
  <si>
    <t>david@imanut.com</t>
  </si>
  <si>
    <t>cell 718-510-2390</t>
  </si>
  <si>
    <t>Imperial Foods</t>
  </si>
  <si>
    <t>joe@imperialfoods.net</t>
  </si>
  <si>
    <t>201-991-0200</t>
  </si>
  <si>
    <t>Importr &amp; Supplier of Bakery Ingredients</t>
  </si>
  <si>
    <t>(800) 783-4116</t>
  </si>
  <si>
    <t>Indo West - Indian Supplier - Derek</t>
  </si>
  <si>
    <t>tel:+17185265052</t>
  </si>
  <si>
    <t>Inter-County Bakery Supply</t>
  </si>
  <si>
    <t>Peter.Vasiliou@icbakers.com</t>
  </si>
  <si>
    <t xml:space="preserve">International </t>
  </si>
  <si>
    <t>???</t>
  </si>
  <si>
    <t>dannys</t>
  </si>
  <si>
    <t>International Food &amp; Spice</t>
  </si>
  <si>
    <t>Paul</t>
  </si>
  <si>
    <t>International Food Market</t>
  </si>
  <si>
    <t>Lion</t>
  </si>
  <si>
    <t xml:space="preserve">International Food Source </t>
  </si>
  <si>
    <t>IGF</t>
  </si>
  <si>
    <t>International Gourmet Foods Inc - Atlanta GA</t>
  </si>
  <si>
    <t xml:space="preserve"> 4 locations</t>
  </si>
  <si>
    <t>703-569-4520</t>
  </si>
  <si>
    <t>NY UP</t>
  </si>
  <si>
    <t>Island Treats</t>
  </si>
  <si>
    <t>islandtreat1@aol.com</t>
  </si>
  <si>
    <t>tel:+16313610011    Eric</t>
  </si>
  <si>
    <t xml:space="preserve">Iva Food Inc - Boston </t>
  </si>
  <si>
    <t>617-787-1511 BazzarSupermarkets</t>
  </si>
  <si>
    <t>tel:+16177398450</t>
  </si>
  <si>
    <t>Ilan?</t>
  </si>
  <si>
    <t>475-A Bloy St, Hillside NJ 07205</t>
  </si>
  <si>
    <t>J Ambrogi - John Hickey</t>
  </si>
  <si>
    <t>J Ambrogi Foods</t>
  </si>
  <si>
    <t>856-845-0377 x6 x 171 V/M  ( 4 buyers)</t>
  </si>
  <si>
    <t>Jaafer Sweets</t>
  </si>
  <si>
    <t>Japji Wholesale</t>
  </si>
  <si>
    <t>japjiwholesale@gmail.com</t>
  </si>
  <si>
    <t>Atin  #773-681-4295</t>
  </si>
  <si>
    <t>Jasraj Int'l Foods</t>
  </si>
  <si>
    <t>jasrajfoods@gmail.com</t>
  </si>
  <si>
    <t>248-275-6701</t>
  </si>
  <si>
    <t>Lipari</t>
  </si>
  <si>
    <t xml:space="preserve">Jerusalum Food - Sam </t>
  </si>
  <si>
    <t>Jerusalem World Pure Foods</t>
  </si>
  <si>
    <t>tel:+13138461705</t>
  </si>
  <si>
    <t>Jimmy Koid @ K&amp;N</t>
  </si>
  <si>
    <t>Jin Zheng Fa - Flushing</t>
  </si>
  <si>
    <t>tel:+17183213266</t>
  </si>
  <si>
    <t>Supplier ?</t>
  </si>
  <si>
    <t>JJ Nuts  --- sells to Cibo Vita</t>
  </si>
  <si>
    <t>jay@jjnuts.com</t>
  </si>
  <si>
    <t>973-396-8750</t>
  </si>
  <si>
    <t>Jo Mart Chocolates - Michael Rogak</t>
  </si>
  <si>
    <t>michael@jomartchocolates.com</t>
  </si>
  <si>
    <t>718-375-1277</t>
  </si>
  <si>
    <t xml:space="preserve">Joeseph Novak - PQN Trading Co </t>
  </si>
  <si>
    <t>jnovak@aol.com</t>
  </si>
  <si>
    <t>tel:+16105731696</t>
  </si>
  <si>
    <t xml:space="preserve">John Farms </t>
  </si>
  <si>
    <t>BAL getting an order</t>
  </si>
  <si>
    <t>tel:+15169331444</t>
  </si>
  <si>
    <t>John Pappas</t>
  </si>
  <si>
    <t>John Tahmaz - Morningstar Specialties</t>
  </si>
  <si>
    <t>tel:+13476896971</t>
  </si>
  <si>
    <t>Johns Farms</t>
  </si>
  <si>
    <t>Johns Natural Foods</t>
  </si>
  <si>
    <t>tel:+12018580088</t>
  </si>
  <si>
    <t>Jon Searles ( Something Sweet used to do pies for BJS)</t>
  </si>
  <si>
    <t>tel:+12038237899</t>
  </si>
  <si>
    <t>Jordan Horn - Julius Silvert</t>
  </si>
  <si>
    <t>jhorn@juliussilvert.com</t>
  </si>
  <si>
    <t xml:space="preserve">tel:+12154551600  x 127 </t>
  </si>
  <si>
    <t>B'Cuzz Snacks</t>
  </si>
  <si>
    <t>Joy Snacks</t>
  </si>
  <si>
    <t>Jr Spice  - Hanas Gourmet</t>
  </si>
  <si>
    <t>Judicke's Bakery  (linked to I Bake Fresh )</t>
  </si>
  <si>
    <t>ka217@live.com</t>
  </si>
  <si>
    <t>201-339-4664</t>
  </si>
  <si>
    <t>June &amp; Ho  - Rye</t>
  </si>
  <si>
    <t>Just Bagel</t>
  </si>
  <si>
    <t>jimmy@justbagels.com</t>
  </si>
  <si>
    <t>tel:+17183289700</t>
  </si>
  <si>
    <t>Just Bagels - Arianna Mendez purchaser</t>
  </si>
  <si>
    <t>Amendez@justbagels.com</t>
  </si>
  <si>
    <t>718-328-9700</t>
  </si>
  <si>
    <t>chicken product</t>
  </si>
  <si>
    <t xml:space="preserve">K&amp;N Foods USA </t>
  </si>
  <si>
    <t>adrian.garstea@kandns.com</t>
  </si>
  <si>
    <t>tel:+13155988080</t>
  </si>
  <si>
    <t>Kaleel Brothers Inc</t>
  </si>
  <si>
    <t>330-758-0861</t>
  </si>
  <si>
    <t>Kalil Enterprises</t>
  </si>
  <si>
    <t>plkalil27@gmail.com</t>
  </si>
  <si>
    <t>313-580-5096</t>
  </si>
  <si>
    <t>Kalystuan</t>
  </si>
  <si>
    <t>aziz@kalustyans.com</t>
  </si>
  <si>
    <t>tel:+12126853451</t>
  </si>
  <si>
    <t xml:space="preserve">Kam Fon Corp  </t>
  </si>
  <si>
    <t xml:space="preserve">Karen Bakery </t>
  </si>
  <si>
    <t>tel:+12016564888</t>
  </si>
  <si>
    <t xml:space="preserve">Kariba Farms </t>
  </si>
  <si>
    <t>info@karibafarms.com</t>
  </si>
  <si>
    <t>973-233-7142</t>
  </si>
  <si>
    <t>69 King St, Unit #6, Dover, NJ 07801</t>
  </si>
  <si>
    <t>Katsiroubas Bros, Boston MA</t>
  </si>
  <si>
    <t>Khalid Al Rajhi Holding.</t>
  </si>
  <si>
    <t>Corporate office</t>
  </si>
  <si>
    <t>Building 8496 Unit # 3  King Abdul Aziz Road, Al Ghadir, Riyadh 13311-4230</t>
  </si>
  <si>
    <t>Khayyan Specialty Foods</t>
  </si>
  <si>
    <t xml:space="preserve">917-940-6133 cell Natalia </t>
  </si>
  <si>
    <t>natalia@khayyan.com</t>
  </si>
  <si>
    <t>KING SWEET</t>
  </si>
  <si>
    <t>kingsweets1@hotmail.com</t>
  </si>
  <si>
    <t>tel:+13475523340</t>
  </si>
  <si>
    <t xml:space="preserve">Dawn - working </t>
  </si>
  <si>
    <t xml:space="preserve">KMS, LLC </t>
  </si>
  <si>
    <t xml:space="preserve">referal Cedarfbarista - </t>
  </si>
  <si>
    <t>Kofrof foods</t>
  </si>
  <si>
    <t>718-854-0600</t>
  </si>
  <si>
    <t>Ilans</t>
  </si>
  <si>
    <t>Kontos</t>
  </si>
  <si>
    <t>evac@kontos.com</t>
  </si>
  <si>
    <t xml:space="preserve">Evangeline </t>
  </si>
  <si>
    <t>KPM Corp</t>
  </si>
  <si>
    <t>Manuf - Dried BeanS</t>
  </si>
  <si>
    <t>no walnuts anymore</t>
  </si>
  <si>
    <t>Krino Foods</t>
  </si>
  <si>
    <t>birce@krinos.com</t>
  </si>
  <si>
    <t>tel:+17187299000</t>
  </si>
  <si>
    <t>Krums Chocolate</t>
  </si>
  <si>
    <t>HAMID</t>
  </si>
  <si>
    <t>L Esti Desserts</t>
  </si>
  <si>
    <t>peter@lestisdesserts.com</t>
  </si>
  <si>
    <t>718-369-7755</t>
  </si>
  <si>
    <t>La Dolce Italia</t>
  </si>
  <si>
    <t>adolceitaliabakery@gmail.com</t>
  </si>
  <si>
    <t>718-268-5297</t>
  </si>
  <si>
    <t>104-05 Metropolitan Ave</t>
  </si>
  <si>
    <t>Forest Hills, NY 11375</t>
  </si>
  <si>
    <t>potnetial buyers for Traina Dried Fruit</t>
  </si>
  <si>
    <t xml:space="preserve">Labanh Dates Factory </t>
  </si>
  <si>
    <t>Factory</t>
  </si>
  <si>
    <t>Lam West Indian Grocery</t>
  </si>
  <si>
    <t>347 663-7763</t>
  </si>
  <si>
    <t>LANDAU SUPERMARKET</t>
  </si>
  <si>
    <t>simonlandau7333@gmail.com</t>
  </si>
  <si>
    <t>tel:+17186330633</t>
  </si>
  <si>
    <t>Landau Supermarket</t>
  </si>
  <si>
    <t xml:space="preserve">Danny &amp; myself </t>
  </si>
  <si>
    <t>Bklyn</t>
  </si>
  <si>
    <t xml:space="preserve">Lestis Desserts </t>
  </si>
  <si>
    <t>646-772-5555 cell</t>
  </si>
  <si>
    <t>Levinsky Roasting</t>
  </si>
  <si>
    <t>Call this location may not be open</t>
  </si>
  <si>
    <t>hendayan41@gmail.com</t>
  </si>
  <si>
    <t>954-684-7308</t>
  </si>
  <si>
    <t>3000 Sterling Ed, Hollywood, FL 33021</t>
  </si>
  <si>
    <t>Levys Bakery</t>
  </si>
  <si>
    <t xml:space="preserve">Lezza Foods B.V - Lezzettar A.S - My Food USA LLC </t>
  </si>
  <si>
    <t>han@lezzafoods.com</t>
  </si>
  <si>
    <t>Lillys Wholesale / Nuts about New York</t>
  </si>
  <si>
    <t>joesagsveen@gmail.com</t>
  </si>
  <si>
    <t>631-242-2044</t>
  </si>
  <si>
    <t>631-918-3257 cell</t>
  </si>
  <si>
    <t>Long Island Candy</t>
  </si>
  <si>
    <t>21st Century Snack Foods</t>
  </si>
  <si>
    <t>Lori Food &amp; Wholesale Distubution</t>
  </si>
  <si>
    <t>jdlorikwholesale@gmail.com</t>
  </si>
  <si>
    <t>Josephg Dubinsky 917-306-3806</t>
  </si>
  <si>
    <t xml:space="preserve">Lori Naval Purchasing Manager </t>
  </si>
  <si>
    <t>Inaval@eurogerm-kb.com</t>
  </si>
  <si>
    <t>973-426-9100 x 212 Lri</t>
  </si>
  <si>
    <t>Lori's Wholesale</t>
  </si>
  <si>
    <t>Lucibello's Italian Pastery</t>
  </si>
  <si>
    <t>info@lucibellospastry.com</t>
  </si>
  <si>
    <t>tel:+12035624083</t>
  </si>
  <si>
    <t>Maamoon Falafel</t>
  </si>
  <si>
    <t>Maamoon Falafel CT</t>
  </si>
  <si>
    <t>suleimanchater@yahoo.com</t>
  </si>
  <si>
    <t>203-623-0217</t>
  </si>
  <si>
    <t>Macis Imports / Macias</t>
  </si>
  <si>
    <t>macias_a_carlos@hotmail.com</t>
  </si>
  <si>
    <t>773-847-0025  Carlos Macias</t>
  </si>
  <si>
    <t xml:space="preserve">Madelaine Chocolate </t>
  </si>
  <si>
    <t xml:space="preserve">Estee Farber  </t>
  </si>
  <si>
    <t>efarber@madelainechocolate.com</t>
  </si>
  <si>
    <t>Mahantten Pita/  is 2nd to none</t>
  </si>
  <si>
    <t>Duplicate</t>
  </si>
  <si>
    <t>Makolet Yerushalim</t>
  </si>
  <si>
    <t>718-787-4300    917-291-5547</t>
  </si>
  <si>
    <t>727 Ave U, Brooklyn NY 11223</t>
  </si>
  <si>
    <t>Manhatten Chilli Comp - Bruce</t>
  </si>
  <si>
    <t>tel:+13475612422</t>
  </si>
  <si>
    <t>Mani Market</t>
  </si>
  <si>
    <t>212-662-4392</t>
  </si>
  <si>
    <t>917-364-9573 cell</t>
  </si>
  <si>
    <t>697 Columbus Ave, NY 10025</t>
  </si>
  <si>
    <t>Manischewitz Cliford Straub</t>
  </si>
  <si>
    <t>Marlowe Candy</t>
  </si>
  <si>
    <t>mikeserpin@gmail.com</t>
  </si>
  <si>
    <t>201 569-7606 </t>
  </si>
  <si>
    <t>Marthas Country Bakery</t>
  </si>
  <si>
    <t>175 Bedford  -718-846-0500</t>
  </si>
  <si>
    <t xml:space="preserve">175 Bedford Ave, Brooklyn NY 11211 </t>
  </si>
  <si>
    <t>263 Bedford  718-599-0900</t>
  </si>
  <si>
    <t xml:space="preserve">263 Bedford Ave, Brooklyn NY 11211 </t>
  </si>
  <si>
    <t>Astoria  718-545-9737</t>
  </si>
  <si>
    <t>36-21 Ditmars Blvd, Queens, NY 11105</t>
  </si>
  <si>
    <t>Q/LI</t>
  </si>
  <si>
    <t>Marzula Bakery</t>
  </si>
  <si>
    <t>tel:+15163522859</t>
  </si>
  <si>
    <t xml:space="preserve">Masaki Momosa </t>
  </si>
  <si>
    <t>1200ct Pine Nuts only</t>
  </si>
  <si>
    <t>tel:+16467450944</t>
  </si>
  <si>
    <t>Masri Sweets</t>
  </si>
  <si>
    <t>tel:+13135843500</t>
  </si>
  <si>
    <t>Mattew Mcaleney</t>
  </si>
  <si>
    <t>mmcaleney@eurogerm-kb.com</t>
  </si>
  <si>
    <t>Mauzone Kosher Products</t>
  </si>
  <si>
    <t>mauzonekosher@gmail.com</t>
  </si>
  <si>
    <t>718-274-4578</t>
  </si>
  <si>
    <t>cell 646-996-2511</t>
  </si>
  <si>
    <t>2636 Borough Place, Woodside NY 11377</t>
  </si>
  <si>
    <t>Phili</t>
  </si>
  <si>
    <t>Mavuno Harvest - Phil Hughes owner</t>
  </si>
  <si>
    <t>phil@manunoharvest.com</t>
  </si>
  <si>
    <t>215-253-08684</t>
  </si>
  <si>
    <t>Maximum Quality Foods</t>
  </si>
  <si>
    <t>paul locurto - purchaisng director</t>
  </si>
  <si>
    <t xml:space="preserve">(908) 474-0003 </t>
  </si>
  <si>
    <t>Meadowhawk Granola</t>
  </si>
  <si>
    <t>347 249-2308</t>
  </si>
  <si>
    <t>Mediterrean Market Port Washington</t>
  </si>
  <si>
    <t>516-767-1400</t>
  </si>
  <si>
    <t>cell Hal  516-554-6437</t>
  </si>
  <si>
    <t>693 Main St, Port Washington, NY 11050</t>
  </si>
  <si>
    <t>Mega Mart Chestnut / Moshe Landau</t>
  </si>
  <si>
    <t>tel:+13478650486</t>
  </si>
  <si>
    <t>Mega Mart LLC  dba Chestnut</t>
  </si>
  <si>
    <t>moshelandau8@gmail.com</t>
  </si>
  <si>
    <t>718-388-1200</t>
  </si>
  <si>
    <t>700 Myrtle Ave. NY Brooklyn 11205</t>
  </si>
  <si>
    <t>Mehbaj ( Saudi Arabia) sample GL retail</t>
  </si>
  <si>
    <t>Mehbaj  company</t>
  </si>
  <si>
    <t>P.O. Box 250400</t>
  </si>
  <si>
    <t>Riyadh 11391</t>
  </si>
  <si>
    <t>Metro Comm</t>
  </si>
  <si>
    <t>Metro Commodities / BAL</t>
  </si>
  <si>
    <t>IL</t>
  </si>
  <si>
    <t>Midland Dist</t>
  </si>
  <si>
    <t>Midwest Northern Inc</t>
  </si>
  <si>
    <t>612 781-6596</t>
  </si>
  <si>
    <t>Milford Fruit Market</t>
  </si>
  <si>
    <t>by Niagra Falls/Buffalo</t>
  </si>
  <si>
    <t>Mister Snacks -  Mike</t>
  </si>
  <si>
    <t>800-333-6393</t>
  </si>
  <si>
    <t>716-691-1500</t>
  </si>
  <si>
    <t>Mivila</t>
  </si>
  <si>
    <t>973-278-4148</t>
  </si>
  <si>
    <t>Mivila Foods, Calverton NY ???</t>
  </si>
  <si>
    <t>Miyas Restaurant</t>
  </si>
  <si>
    <t>CA</t>
  </si>
  <si>
    <t xml:space="preserve">MJ Confectionary </t>
  </si>
  <si>
    <t>fardcandy@gmail.com</t>
  </si>
  <si>
    <t>Javanfard</t>
  </si>
  <si>
    <t>Mohammad Ali</t>
  </si>
  <si>
    <t>646-318-0342 cell</t>
  </si>
  <si>
    <t>Monsey Bake Shop</t>
  </si>
  <si>
    <t>tel:+18454940573</t>
  </si>
  <si>
    <t>Moonee Inc - Freeport California</t>
  </si>
  <si>
    <t xml:space="preserve">Hugh - HB Parnell </t>
  </si>
  <si>
    <t>510-410-7350</t>
  </si>
  <si>
    <t>Moscato Bakery &amp; Café</t>
  </si>
  <si>
    <t>zarehandrias27@gmail.com</t>
  </si>
  <si>
    <t>516-749-2732</t>
  </si>
  <si>
    <t>Mothers Mousse</t>
  </si>
  <si>
    <t>mothermousse@gmail.com</t>
  </si>
  <si>
    <t>tel:+17189838366</t>
  </si>
  <si>
    <t>Mr Sweiss Imports</t>
  </si>
  <si>
    <t>tel:+13138779550</t>
  </si>
  <si>
    <t>Mundo Cullinaro / Cullinary</t>
  </si>
  <si>
    <t>Munki Food company from Asheville, NC</t>
  </si>
  <si>
    <t>828-318 3732</t>
  </si>
  <si>
    <t>My Boys Baking</t>
  </si>
  <si>
    <t>robert@myboysbaking</t>
  </si>
  <si>
    <t>6104191866-</t>
  </si>
  <si>
    <t>NAGILA MARKET</t>
  </si>
  <si>
    <t>liorafrouz@gmail.com</t>
  </si>
  <si>
    <t>tel:+17182682626</t>
  </si>
  <si>
    <t>Nagila Market</t>
  </si>
  <si>
    <t xml:space="preserve">Natural Food Land </t>
  </si>
  <si>
    <t>naturalfoodland@icloud.com</t>
  </si>
  <si>
    <t>psvtradeinc@gmail.com</t>
  </si>
  <si>
    <t>Boris Shev 917-771-7366</t>
  </si>
  <si>
    <t>351 Walker St, StatenIsland NY 10303</t>
  </si>
  <si>
    <t>Alex 646-643-0349</t>
  </si>
  <si>
    <t>Natures Plus</t>
  </si>
  <si>
    <t>Negron Foods</t>
  </si>
  <si>
    <t>** separate frm Bakers Depot</t>
  </si>
  <si>
    <t>Betty - AP-Xiomara</t>
  </si>
  <si>
    <t>Neri's Bakery</t>
  </si>
  <si>
    <t>Aneri@Neribake.Com</t>
  </si>
  <si>
    <t>Anthony 914-939-3311 X 26</t>
  </si>
  <si>
    <t>brklyn</t>
  </si>
  <si>
    <t>Net Cost / Royal Bazzar</t>
  </si>
  <si>
    <t>alex@royalbaza.com</t>
  </si>
  <si>
    <t>tel:+718203181888</t>
  </si>
  <si>
    <t>new email address: info@gittofoods.com</t>
  </si>
  <si>
    <t>Apna Bazar</t>
  </si>
  <si>
    <t>New England Food, Stoughton, MA</t>
  </si>
  <si>
    <t xml:space="preserve">Restaurant Depot took over </t>
  </si>
  <si>
    <t xml:space="preserve">New England Natural Bakers </t>
  </si>
  <si>
    <t>info@nenb.com</t>
  </si>
  <si>
    <t>tel:+14137722239</t>
  </si>
  <si>
    <t xml:space="preserve">New Nissi </t>
  </si>
  <si>
    <t>973-278-4400 Jason</t>
  </si>
  <si>
    <t xml:space="preserve">New Reliance Traders </t>
  </si>
  <si>
    <t xml:space="preserve">24oz &amp; 10oz </t>
  </si>
  <si>
    <t>Newport Specialtiy Food</t>
  </si>
  <si>
    <t>Newtons Naturals NYC</t>
  </si>
  <si>
    <t>Contact person – Benny 631 219 6588   </t>
  </si>
  <si>
    <t>shared Mike Esposito</t>
  </si>
  <si>
    <t>Niagara Distributors in Hollywood FL</t>
  </si>
  <si>
    <t>shared</t>
  </si>
  <si>
    <t>Arthur</t>
  </si>
  <si>
    <t>Niagra Distribtion</t>
  </si>
  <si>
    <t>tel:+19549256775</t>
  </si>
  <si>
    <t>Nice &amp; Fresh Inc</t>
  </si>
  <si>
    <t>$$$ Shah issues</t>
  </si>
  <si>
    <t>tel:+19173746335</t>
  </si>
  <si>
    <t>Nirwana Foods LLC</t>
  </si>
  <si>
    <t>jay@nirwanallc.com</t>
  </si>
  <si>
    <t>Nostros Foods (used to Eurama Foods sold)</t>
  </si>
  <si>
    <t>Victor  12/8</t>
  </si>
  <si>
    <t>Nouri Bros - Al</t>
  </si>
  <si>
    <t>tel:+19739538320  ( cell )</t>
  </si>
  <si>
    <t>Nut Factory Trade / Floyds market</t>
  </si>
  <si>
    <t>duplicate</t>
  </si>
  <si>
    <t>Nuts to You</t>
  </si>
  <si>
    <t>215-744-5768</t>
  </si>
  <si>
    <t>NUTS4NUTS</t>
  </si>
  <si>
    <t xml:space="preserve">Competition imports </t>
  </si>
  <si>
    <r>
      <t xml:space="preserve">Nutsco          </t>
    </r>
    <r>
      <rPr>
        <b/>
        <sz val="11"/>
        <color theme="7" tint="-0.499984740745262"/>
        <rFont val="Comic Sans MS"/>
        <family val="4"/>
      </rPr>
      <t>NO COMPETITION IMPORTER</t>
    </r>
  </si>
  <si>
    <t>paulo@nutsco.com</t>
  </si>
  <si>
    <t>tel:+18569666400</t>
  </si>
  <si>
    <t>NutsImEx LTD, Canada</t>
  </si>
  <si>
    <t>info@nutsimex.ca</t>
  </si>
  <si>
    <t>289-597.6664</t>
  </si>
  <si>
    <t>61 Spruce Ave, Richmond Hill ON LAC 6V9 Canada</t>
  </si>
  <si>
    <t>Farshad@nutsimex.ca</t>
  </si>
  <si>
    <t>647-968-0351 Farshad Sohbati</t>
  </si>
  <si>
    <t>Ship to: Hamoon foodstuff Trading LLC, Dubai</t>
  </si>
  <si>
    <t>Nutsola</t>
  </si>
  <si>
    <t>Nutty Guys - Nate or Dean</t>
  </si>
  <si>
    <t>tel:+18016749048</t>
  </si>
  <si>
    <t>NY Peanuts / Alvarez Peanuts</t>
  </si>
  <si>
    <t>Alejandro 347-705-9564</t>
  </si>
  <si>
    <t>Nassau Candy</t>
  </si>
  <si>
    <t>300 Duffy Ave, Hicksville, NJ 11801</t>
  </si>
  <si>
    <t>516-433-7100 x7657</t>
  </si>
  <si>
    <t>Old Fashioned Bakery</t>
  </si>
  <si>
    <t>516-759-1141</t>
  </si>
  <si>
    <t>10 Cedar Swamp Rd, Glen Cove, NY 11542</t>
  </si>
  <si>
    <t>Old Fashioned Kitchen Inc</t>
  </si>
  <si>
    <t>Omonia Cafe - Astoria</t>
  </si>
  <si>
    <t>(718) 274-6650</t>
  </si>
  <si>
    <t>One Stop</t>
  </si>
  <si>
    <t>onestop9251@gmail.com</t>
  </si>
  <si>
    <t>tel:+12018668812</t>
  </si>
  <si>
    <t>Onofrios Ultinmate Foods  ??</t>
  </si>
  <si>
    <t>rebeccaonofrios@ultimatefoods.net</t>
  </si>
  <si>
    <t>tel:+12034694014</t>
  </si>
  <si>
    <t>operate 365 retail supermakets accros the Northeast</t>
  </si>
  <si>
    <t>Corp office Commack NY</t>
  </si>
  <si>
    <t>631-864-2224</t>
  </si>
  <si>
    <t xml:space="preserve">Optima Foods is Wholesale </t>
  </si>
  <si>
    <t>Oriental Pastry</t>
  </si>
  <si>
    <t xml:space="preserve">Otto brehm Inc </t>
  </si>
  <si>
    <t>tel:+17185628730</t>
  </si>
  <si>
    <t>Oven Treats</t>
  </si>
  <si>
    <t>tel:+15163226552</t>
  </si>
  <si>
    <t xml:space="preserve">Overlander </t>
  </si>
  <si>
    <t>P/L raw almnds - walnut - pine nuts</t>
  </si>
  <si>
    <t>Palagonia Bakery</t>
  </si>
  <si>
    <t>718 272-5400</t>
  </si>
  <si>
    <t>Montreal CA</t>
  </si>
  <si>
    <t>Papco Foods - Canada</t>
  </si>
  <si>
    <t>bpapaleo@papcofoods.com</t>
  </si>
  <si>
    <t>Bruno main 514-334-6333</t>
  </si>
  <si>
    <t>Paris Gourmet</t>
  </si>
  <si>
    <t xml:space="preserve"> h.jung@parisgourmet.com</t>
  </si>
  <si>
    <t>Hayra -new buyer (Harriet</t>
  </si>
  <si>
    <t>n.stevnson@parisgourmet.com</t>
  </si>
  <si>
    <t>Harriet</t>
  </si>
  <si>
    <t>Parrot Coffee - Astoria</t>
  </si>
  <si>
    <t>718-545-7920</t>
  </si>
  <si>
    <t>Parrot Coffee - Ridgewood</t>
  </si>
  <si>
    <t>718-821-2785</t>
  </si>
  <si>
    <t>Parrot Coffee - Sunnyside</t>
  </si>
  <si>
    <t>718-392-4515</t>
  </si>
  <si>
    <t>NY Q&amp;Brklyn</t>
  </si>
  <si>
    <t>Patel Grocery Corp</t>
  </si>
  <si>
    <t>Pecan Pies</t>
  </si>
  <si>
    <t>Pereg Gourmet Natural Foods</t>
  </si>
  <si>
    <t>joy@pereg-gourmet.com</t>
  </si>
  <si>
    <t>718-261-6767</t>
  </si>
  <si>
    <t>718-200-8876 cell</t>
  </si>
  <si>
    <t>Peteron Company</t>
  </si>
  <si>
    <t>800-735-0313</t>
  </si>
  <si>
    <t xml:space="preserve">Phidelia Premium  </t>
  </si>
  <si>
    <t>daryoush@phidelia.ca</t>
  </si>
  <si>
    <t>416-451-8802</t>
  </si>
  <si>
    <t>Philips Candy</t>
  </si>
  <si>
    <t>tel:+17189810062</t>
  </si>
  <si>
    <t>Pioneer international</t>
  </si>
  <si>
    <t>103A,Shakha Maiyam</t>
  </si>
  <si>
    <t>Buldind P114</t>
  </si>
  <si>
    <t>Al maktoum street</t>
  </si>
  <si>
    <t>Poncho Bakery - Sancho Pancho Bakery</t>
  </si>
  <si>
    <t>NyBakery@gmail.com</t>
  </si>
  <si>
    <t>347-497-5176</t>
  </si>
  <si>
    <t>Positive Food Consulting</t>
  </si>
  <si>
    <t>AKC</t>
  </si>
  <si>
    <t>Premier Food USA</t>
  </si>
  <si>
    <t>is this premium food group Dannys acct</t>
  </si>
  <si>
    <t>Premium Food Group Inc</t>
  </si>
  <si>
    <t>sam@premiumfoodgroup.com</t>
  </si>
  <si>
    <t>845-642-8188</t>
  </si>
  <si>
    <t>845-298-9100</t>
  </si>
  <si>
    <t>Prime Food Products/T&amp;E Prime Food/ bakerswonder</t>
  </si>
  <si>
    <t>joel@primefoodproductsinc.com</t>
  </si>
  <si>
    <t>718-388-7141 x 104</t>
  </si>
  <si>
    <t>Pur Superfood / Vega Produce</t>
  </si>
  <si>
    <t>felipe@pursperfoods.com</t>
  </si>
  <si>
    <t>305-285-1235</t>
  </si>
  <si>
    <t>786-210-2742 Cell Felipe</t>
  </si>
  <si>
    <t>Produce N More</t>
  </si>
  <si>
    <t>140 Ethel Rd W. Unit B, Piscataway NJ 08854</t>
  </si>
  <si>
    <t>Quail Pack</t>
  </si>
  <si>
    <t>david@quailpackusa.com</t>
  </si>
  <si>
    <t>David 973-614-1193  347-300-1079</t>
  </si>
  <si>
    <t>Quaker Sugar ?</t>
  </si>
  <si>
    <t>R &amp; M Supermarket  - 108st</t>
  </si>
  <si>
    <t xml:space="preserve">917617-3105 Uriel </t>
  </si>
  <si>
    <t>6364 108st, Forest Hills, NY 11375</t>
  </si>
  <si>
    <t>R &amp; M Supermarket - Main St</t>
  </si>
  <si>
    <t>718-261-2762 Michael</t>
  </si>
  <si>
    <t>7605 Main St, Flushing NY 11367</t>
  </si>
  <si>
    <t>R &amp; M Supermarket - Rego</t>
  </si>
  <si>
    <t>917-916-1643 Moshe Owner</t>
  </si>
  <si>
    <t>91-19 63rd Dr, Rego Park, NY 11374</t>
  </si>
  <si>
    <t>R Best - ( Supermarket)</t>
  </si>
  <si>
    <t>tel:+17186178300</t>
  </si>
  <si>
    <t>Rafael's deli ( A&amp;R, Dali Deli , Gastunom)</t>
  </si>
  <si>
    <t>gastranom@hotmail.com</t>
  </si>
  <si>
    <t>tel:+17184593956</t>
  </si>
  <si>
    <t>Ram Caterer **Old Westbury</t>
  </si>
  <si>
    <t>Found this location</t>
  </si>
  <si>
    <t>516-997-4000</t>
  </si>
  <si>
    <t>21 Old westbury Rd, Old Westbury, NY 11568</t>
  </si>
  <si>
    <t>KOSHER</t>
  </si>
  <si>
    <t>Ram Caterers</t>
  </si>
  <si>
    <t>info@ramcaterers.com</t>
  </si>
  <si>
    <t>tel:+17183360300</t>
  </si>
  <si>
    <t>Locations closed</t>
  </si>
  <si>
    <t>718 336-0300</t>
  </si>
  <si>
    <t>2030 Ocean Pkwy NY Brooklyn 11223</t>
  </si>
  <si>
    <t>Ram Caterers Brklyn</t>
  </si>
  <si>
    <t>Ravagh</t>
  </si>
  <si>
    <t>Topoli food distributors IN</t>
  </si>
  <si>
    <t>5167245241 Kevin</t>
  </si>
  <si>
    <t>65 Bloomingdale Rd Hicksville NY 11801</t>
  </si>
  <si>
    <t>Raymond Hadley</t>
  </si>
  <si>
    <t>RCN Imports</t>
  </si>
  <si>
    <t>ngallina@rcnimports.com</t>
  </si>
  <si>
    <t>732-650-1247 x 251203</t>
  </si>
  <si>
    <t>rick@rcnimports.com</t>
  </si>
  <si>
    <t>Red Mill Farms</t>
  </si>
  <si>
    <t>lainiehamlin@outlook.com%20</t>
  </si>
  <si>
    <t>tel:+15704572400</t>
  </si>
  <si>
    <t>Regal Snacks  - NUTSTOP.com</t>
  </si>
  <si>
    <t>info@regalsnacks.com</t>
  </si>
  <si>
    <t>732 252-1044</t>
  </si>
  <si>
    <t>igor@regalsnacks.com</t>
  </si>
  <si>
    <t>purchaser for NUTSTOP</t>
  </si>
  <si>
    <t xml:space="preserve">Regal Vegan </t>
  </si>
  <si>
    <t>tel:+19172736888</t>
  </si>
  <si>
    <t>Rhee Bros - Asian</t>
  </si>
  <si>
    <t>Rhee Bros.</t>
  </si>
  <si>
    <t>Rich Products/The Happy Orchard/(Spezla)</t>
  </si>
  <si>
    <t>purchasing@thehappyorchard.com</t>
  </si>
  <si>
    <t xml:space="preserve">202-531-0756 Collette </t>
  </si>
  <si>
    <t xml:space="preserve"> 409-273-8738 Sid</t>
  </si>
  <si>
    <t>Mass</t>
  </si>
  <si>
    <t>DISTR</t>
  </si>
  <si>
    <t>Rohtstein</t>
  </si>
  <si>
    <t>Steve Rohtstein</t>
  </si>
  <si>
    <t>tel:+17819358300 x6 Purchasing</t>
  </si>
  <si>
    <t xml:space="preserve">Rong Bau LLC </t>
  </si>
  <si>
    <t>newrbllc@gmail.com</t>
  </si>
  <si>
    <t>tel:+12129661868</t>
  </si>
  <si>
    <t>Rossman Farms</t>
  </si>
  <si>
    <t>Rossman Fruit &amp; Vegetables Inc</t>
  </si>
  <si>
    <t>Royal Baza</t>
  </si>
  <si>
    <t>718-318-1888 x 1620 or 1604</t>
  </si>
  <si>
    <t>175 Lake Avenue</t>
  </si>
  <si>
    <t>Staten Island, NY, 10303.</t>
  </si>
  <si>
    <t>NY Q/B</t>
  </si>
  <si>
    <t xml:space="preserve">Royal Baza </t>
  </si>
  <si>
    <t>upst</t>
  </si>
  <si>
    <t>Royal Palace</t>
  </si>
  <si>
    <t>jmmitter@aol.com</t>
  </si>
  <si>
    <t>914-289-1988</t>
  </si>
  <si>
    <t>77 Knollwood Rd, White Plains. NY 10607</t>
  </si>
  <si>
    <t>Royal Palalce</t>
  </si>
  <si>
    <t>Royal Seafood Baza</t>
  </si>
  <si>
    <t xml:space="preserve">Russ &amp; Daughters </t>
  </si>
  <si>
    <t>tel:+12124750345</t>
  </si>
  <si>
    <t>swl</t>
  </si>
  <si>
    <t>Russo Brooklyn</t>
  </si>
  <si>
    <t>getahart@aol.com</t>
  </si>
  <si>
    <t>tel:+17183692874</t>
  </si>
  <si>
    <t>2/7/23 GL Danny &amp; I sold this one</t>
  </si>
  <si>
    <t>I thought this is also a House Acct, very small pine nuts</t>
  </si>
  <si>
    <t>Russo Tiesi</t>
  </si>
  <si>
    <t>salvatore@russotiesi.com</t>
  </si>
  <si>
    <t>tel:+19739787361</t>
  </si>
  <si>
    <t>H/E</t>
  </si>
  <si>
    <t xml:space="preserve">Ryszaro Foods </t>
  </si>
  <si>
    <t>S G Marketing</t>
  </si>
  <si>
    <t>guptassurabh972@gmail.com</t>
  </si>
  <si>
    <t>609-582-3368</t>
  </si>
  <si>
    <t>sgmd1985@gmail.com</t>
  </si>
  <si>
    <t>20 C-4 Redfield Village, Edison NJ 08837</t>
  </si>
  <si>
    <t>Sahadi  Atlantic Ave</t>
  </si>
  <si>
    <t>Kristin - Pat Whelan</t>
  </si>
  <si>
    <t>718-624-4550</t>
  </si>
  <si>
    <t>Sahadi Industrial City</t>
  </si>
  <si>
    <t>sold now party of Ziyad</t>
  </si>
  <si>
    <t>718-788-7500</t>
  </si>
  <si>
    <t>SAI Trading Company</t>
  </si>
  <si>
    <t>info@saitrading</t>
  </si>
  <si>
    <t>Ajay  - 219-614-4263 off 219-902-9382</t>
  </si>
  <si>
    <t>danny</t>
  </si>
  <si>
    <t>Salmo Corp</t>
  </si>
  <si>
    <t>stevenyassin@aol.com</t>
  </si>
  <si>
    <t>718-529-1100</t>
  </si>
  <si>
    <t>samarkand bazaar</t>
  </si>
  <si>
    <t>Samba Partner</t>
  </si>
  <si>
    <t>Sancho Pancho</t>
  </si>
  <si>
    <t>Sancho Pancho Bakery</t>
  </si>
  <si>
    <t xml:space="preserve">cant get to them fast evenough </t>
  </si>
  <si>
    <t>Sankaj llc</t>
  </si>
  <si>
    <t>sankajllc@gmail.com</t>
  </si>
  <si>
    <t>Sanniti LLC</t>
  </si>
  <si>
    <t>201-939-3000</t>
  </si>
  <si>
    <t xml:space="preserve">Sarabeth </t>
  </si>
  <si>
    <t>kristyn@sarabeth.com</t>
  </si>
  <si>
    <t>sales@sarabeth.com</t>
  </si>
  <si>
    <t>Sattva Vida</t>
  </si>
  <si>
    <t>klauterstein@gmail.co</t>
  </si>
  <si>
    <t>917-596-4935 Karen</t>
  </si>
  <si>
    <t>Seacrest Foods - Lynn MA</t>
  </si>
  <si>
    <t>Seashore Food Distributors Inc</t>
  </si>
  <si>
    <t xml:space="preserve">609-886-3100 x 2  x127 Mike spoke to sent some prices </t>
  </si>
  <si>
    <t>Second to none</t>
  </si>
  <si>
    <t>Seven Mile Market</t>
  </si>
  <si>
    <t>management@sevenmilemarket.com</t>
  </si>
  <si>
    <t>tel:+14106532000</t>
  </si>
  <si>
    <t>Sevenhill Trading</t>
  </si>
  <si>
    <t>lentils by pallet thru BAL</t>
  </si>
  <si>
    <t>Shish Kebob</t>
  </si>
  <si>
    <t>aylant@ayhans.com</t>
  </si>
  <si>
    <t>516-767-6105 Maria</t>
  </si>
  <si>
    <t>Shivam Distro  Vasoon 407-951-8730</t>
  </si>
  <si>
    <t xml:space="preserve">Shop Rite- Fariway-Gourmet Garage-Dearborn-Price Rite-Di Bruno </t>
  </si>
  <si>
    <t>MA</t>
  </si>
  <si>
    <t>Shoperies - Boston</t>
  </si>
  <si>
    <t>Ravi@shoperies.com</t>
  </si>
  <si>
    <t>425-345-2648</t>
  </si>
  <si>
    <t>Sidco / BakeMark</t>
  </si>
  <si>
    <t>11/29/21 NH</t>
  </si>
  <si>
    <t>Sierra snacks - Interantaional Inc</t>
  </si>
  <si>
    <t>Simply Nuts and More - Minnesota</t>
  </si>
  <si>
    <t>Sincerely Nuts</t>
  </si>
  <si>
    <t>albert@sincerelynuts.co</t>
  </si>
  <si>
    <t>718-832-4877 x 404</t>
  </si>
  <si>
    <t>718-757-4972 cell</t>
  </si>
  <si>
    <t>Singh Farms - Mrs Deepti</t>
  </si>
  <si>
    <t>singhfarm101@gmail.com</t>
  </si>
  <si>
    <t>347 5710982</t>
  </si>
  <si>
    <t>New Location</t>
  </si>
  <si>
    <t xml:space="preserve">Singh Fresh Farm </t>
  </si>
  <si>
    <t>freshfarm1313@gmail.com</t>
  </si>
  <si>
    <t>917-514-6653</t>
  </si>
  <si>
    <t>107-25 Atlantic Ave, Richmond Hill, NY 11418</t>
  </si>
  <si>
    <t>H/I</t>
  </si>
  <si>
    <t>Sirob</t>
  </si>
  <si>
    <t xml:space="preserve">Snacc Distruting - Cinncinnati OH </t>
  </si>
  <si>
    <t>Keri ?? 516-723-1777</t>
  </si>
  <si>
    <t>tel:+18005683135</t>
  </si>
  <si>
    <t>SOS Chefs</t>
  </si>
  <si>
    <t>info@sos-chefs.com</t>
  </si>
  <si>
    <t>Adam</t>
  </si>
  <si>
    <t>Southdown Marketplace</t>
  </si>
  <si>
    <t>(631) 351-9660</t>
  </si>
  <si>
    <t>NC</t>
  </si>
  <si>
    <t>Esposito</t>
  </si>
  <si>
    <t>Southern Supreme Fruitcake &amp; More</t>
  </si>
  <si>
    <t>336-581-3141</t>
  </si>
  <si>
    <t>purchasinsosupreme@yahoo.com</t>
  </si>
  <si>
    <t>Sparrow Enterprises Ltd</t>
  </si>
  <si>
    <t>(617) 569-3900</t>
  </si>
  <si>
    <t>Sparta Bakery &amp; Kitchen ?</t>
  </si>
  <si>
    <t>Sparta Food Dist??</t>
  </si>
  <si>
    <t>Danny said to stay away from</t>
  </si>
  <si>
    <t>Spezila / Happy Orchard/ Rich</t>
  </si>
  <si>
    <t>ACTIVE</t>
  </si>
  <si>
    <t>Spice N More</t>
  </si>
  <si>
    <t>abdul@spice-n-more.com</t>
  </si>
  <si>
    <t>718-417-0746</t>
  </si>
  <si>
    <t>646-772-6589 Cell</t>
  </si>
  <si>
    <t>Spice World &amp; Herbs</t>
  </si>
  <si>
    <t>Warren MI location closed</t>
  </si>
  <si>
    <t>248-629-9225</t>
  </si>
  <si>
    <t>Spring Glenn</t>
  </si>
  <si>
    <t>Michigan</t>
  </si>
  <si>
    <t>St Laurent Bros - Bay City Mich</t>
  </si>
  <si>
    <t>ed.stlaurent@jrdice.com</t>
  </si>
  <si>
    <t>Ed - 989-893-7522</t>
  </si>
  <si>
    <t>Steinway Pasta** duplicate **</t>
  </si>
  <si>
    <t>alberto@dolceamoreny.com</t>
  </si>
  <si>
    <t>tel:+17182465414</t>
  </si>
  <si>
    <t>Steuben</t>
  </si>
  <si>
    <t>Suffok Banana</t>
  </si>
  <si>
    <t>Sukadia Sweets Chicago  ( Indian food &amp; bakery)</t>
  </si>
  <si>
    <t>Sukhadia sweets in chicago  ( cashews)</t>
  </si>
  <si>
    <t>www.sukhadiasweetschicago.com</t>
  </si>
  <si>
    <t>773-338-5400</t>
  </si>
  <si>
    <t>Sunburst Coffe shop</t>
  </si>
  <si>
    <t xml:space="preserve">Sunco </t>
  </si>
  <si>
    <t>HOUSE active</t>
  </si>
  <si>
    <t>Suncrop</t>
  </si>
  <si>
    <t>dy.suncropfoods@gmail.com</t>
  </si>
  <si>
    <t>267-9682011/2679682012/2155439192</t>
  </si>
  <si>
    <t>Supermarket chain in CT &amp; Mass</t>
  </si>
  <si>
    <t>Surati Sweet mart limited</t>
  </si>
  <si>
    <t xml:space="preserve">732-251-3404  NJ </t>
  </si>
  <si>
    <t>indian Manuf</t>
  </si>
  <si>
    <t>Suzies Pastry</t>
  </si>
  <si>
    <t>Sweet Rainbow Candy &amp; Nut</t>
  </si>
  <si>
    <t>mikesweetrainbow@hotmail.com</t>
  </si>
  <si>
    <t>914-668-2167</t>
  </si>
  <si>
    <t>Symphony Bakery</t>
  </si>
  <si>
    <t xml:space="preserve">Tabatchnick Fine Foods </t>
  </si>
  <si>
    <t>info@tabatchnick.com</t>
  </si>
  <si>
    <t>tel:+17322476668</t>
  </si>
  <si>
    <t>Tashkent Supermarket</t>
  </si>
  <si>
    <t>tashkent713@gmail.com</t>
  </si>
  <si>
    <t>Hamid/Danny</t>
  </si>
  <si>
    <t>Teitel</t>
  </si>
  <si>
    <t xml:space="preserve">Hamids </t>
  </si>
  <si>
    <t>Teitel Bro</t>
  </si>
  <si>
    <t>the granola factory</t>
  </si>
  <si>
    <t>Casey@thegranolafactory.com</t>
  </si>
  <si>
    <t>610-868-8100</t>
  </si>
  <si>
    <t>The Hampton Grocer</t>
  </si>
  <si>
    <t>The Happy Orchard ( Spezla) - Richs</t>
  </si>
  <si>
    <t>The Market Basket</t>
  </si>
  <si>
    <t>pauls@marketbasket.com</t>
  </si>
  <si>
    <t>(201) 891-2000 ext. 4032</t>
  </si>
  <si>
    <t>973 636-2150</t>
  </si>
  <si>
    <t>813 Franklin Lakes Rd Franklin Lakes NJ 07417</t>
  </si>
  <si>
    <t>The Nut House</t>
  </si>
  <si>
    <t>tel:+17082474742</t>
  </si>
  <si>
    <t>The Nutman Company</t>
  </si>
  <si>
    <t>info@nutman.com</t>
  </si>
  <si>
    <t>262-628-4771</t>
  </si>
  <si>
    <t>The Nuttery</t>
  </si>
  <si>
    <t>tel:+17187058822</t>
  </si>
  <si>
    <t>The Paul Schmier , The Market Basket</t>
  </si>
  <si>
    <t>tel:+12018912000</t>
  </si>
  <si>
    <t>The Phoenician Bakery</t>
  </si>
  <si>
    <t>732-545-3915</t>
  </si>
  <si>
    <t>608 Georges Rd N Brunswick NJ 08902</t>
  </si>
  <si>
    <t>The Travelling Nut</t>
  </si>
  <si>
    <t>Dixie Land Music Park</t>
  </si>
  <si>
    <t>tel:+19896661912</t>
  </si>
  <si>
    <t>The Vinegar Factory</t>
  </si>
  <si>
    <t>Three Guys From Brooklyn    </t>
  </si>
  <si>
    <t>(718) 748-8340</t>
  </si>
  <si>
    <t>Hamid Danny</t>
  </si>
  <si>
    <t>Tia Nut - Taj Foods</t>
  </si>
  <si>
    <t xml:space="preserve">973-246-9777 </t>
  </si>
  <si>
    <t xml:space="preserve">Tikva Bohor Kosher Meat </t>
  </si>
  <si>
    <t>Erezaga85@gmail.com</t>
  </si>
  <si>
    <t>718-896-8515</t>
  </si>
  <si>
    <t>718-575-8200 cell Erez</t>
  </si>
  <si>
    <t xml:space="preserve">Tikvah  </t>
  </si>
  <si>
    <t xml:space="preserve">Is this Tikva Bohor Kosher Meat </t>
  </si>
  <si>
    <t>Tikvah Int'l LLC  / International Food Market</t>
  </si>
  <si>
    <t>347-418-7971</t>
  </si>
  <si>
    <t>?? Hamids old place</t>
  </si>
  <si>
    <t>I think this is Hamid as his old business and he calls on the guy</t>
  </si>
  <si>
    <t>Titan Foods</t>
  </si>
  <si>
    <t>Demos@titanfoods.net</t>
  </si>
  <si>
    <t>718-626-7771</t>
  </si>
  <si>
    <t>TNZ</t>
  </si>
  <si>
    <t>Todaro Bros</t>
  </si>
  <si>
    <t>Top Proud Food Inc</t>
  </si>
  <si>
    <t xml:space="preserve">Transpacker - peanuts </t>
  </si>
  <si>
    <t>John Graham</t>
  </si>
  <si>
    <t>*** needs a lot of documentation</t>
  </si>
  <si>
    <t>Trooper Foods ??</t>
  </si>
  <si>
    <t>Tufo's Wholesale Foods Inc- Bronx NY</t>
  </si>
  <si>
    <t>Turkana Food</t>
  </si>
  <si>
    <t>908-810-8800</t>
  </si>
  <si>
    <t>Two Fields Bakeshop is Nut Free GF &amp; sesame Free</t>
  </si>
  <si>
    <t>info@bayridgebakery.com</t>
  </si>
  <si>
    <t>Uncle Louie'gee</t>
  </si>
  <si>
    <t>ulgices123@gmail.com</t>
  </si>
  <si>
    <t>tel:+19173647565</t>
  </si>
  <si>
    <t>Unger/ Dr Pregar</t>
  </si>
  <si>
    <t>tel:+12017031300</t>
  </si>
  <si>
    <t>UNIVERSAL FOODS</t>
  </si>
  <si>
    <t>Vacaro Italian Bakeries - Spanish Pignolias</t>
  </si>
  <si>
    <t>Vadilal Industreis</t>
  </si>
  <si>
    <t>jalpeshparmar@vadilalgroup.com</t>
  </si>
  <si>
    <t>732-333-1209</t>
  </si>
  <si>
    <t>91 709 610 9392 cell</t>
  </si>
  <si>
    <t/>
  </si>
  <si>
    <t>Valente Yeast</t>
  </si>
  <si>
    <t>now Bakemark</t>
  </si>
  <si>
    <t>Mike Esposito working on</t>
  </si>
  <si>
    <t>Valente Yeast Company</t>
  </si>
  <si>
    <t>Valente Yeast/BakeMark</t>
  </si>
  <si>
    <t>Vega Produce / pur superfoods</t>
  </si>
  <si>
    <t>DUPLICATE</t>
  </si>
  <si>
    <t>CT</t>
  </si>
  <si>
    <t>Veggei World, CT</t>
  </si>
  <si>
    <t>Veggie World #2</t>
  </si>
  <si>
    <t>42 Windsor Ave, Vernan, CT 06066</t>
  </si>
  <si>
    <t>Veggie World, CT</t>
  </si>
  <si>
    <t>veggieworld9@gmail.com</t>
  </si>
  <si>
    <t>860-665-8288</t>
  </si>
  <si>
    <t>749 Nebritain Ave, Newington, CT 06111</t>
  </si>
  <si>
    <t>Victoria sweet shop Astoria</t>
  </si>
  <si>
    <t>Brx</t>
  </si>
  <si>
    <t>Victory Food Service</t>
  </si>
  <si>
    <t>Victory Sweet Shop</t>
  </si>
  <si>
    <t>info@victorysweetshop.com</t>
  </si>
  <si>
    <t>tel:+17182742087</t>
  </si>
  <si>
    <t>info@vicotrysweetshop.com</t>
  </si>
  <si>
    <t>718 274-2087</t>
  </si>
  <si>
    <t>Villa Jerada</t>
  </si>
  <si>
    <t>Tasty</t>
  </si>
  <si>
    <t xml:space="preserve">Vintage </t>
  </si>
  <si>
    <t>renamed to Global Market Foods 3/6 notified no chgs yet</t>
  </si>
  <si>
    <t>Vintage 201-955-1505 x 105</t>
  </si>
  <si>
    <t xml:space="preserve">now part of Ziyad </t>
  </si>
  <si>
    <t xml:space="preserve">Vintage/Ziyad - for Chase Pecan </t>
  </si>
  <si>
    <t>ibrahim.Yasintimur@vintagefood.com</t>
  </si>
  <si>
    <t>201-955-1505 x 145</t>
  </si>
  <si>
    <t>Wakefern Food Corp</t>
  </si>
  <si>
    <t>Keasbey NJ 08832</t>
  </si>
  <si>
    <t>908-527-3300</t>
  </si>
  <si>
    <t>West Indian Direct</t>
  </si>
  <si>
    <t xml:space="preserve">Hari </t>
  </si>
  <si>
    <t>tel:+17182525659</t>
  </si>
  <si>
    <t>Wetsern Beef</t>
  </si>
  <si>
    <t>whitehouse Shady Hollow Farms Inc</t>
  </si>
  <si>
    <t>908-534-4636  check in NY may be closing</t>
  </si>
  <si>
    <t>who is Sotero San Miguel - Fal Food USA</t>
  </si>
  <si>
    <t>347-813-4705</t>
  </si>
  <si>
    <t>Woodlawn Foods - Renee Broadway</t>
  </si>
  <si>
    <t>tel:+18476937579</t>
  </si>
  <si>
    <t>Woolco Foods</t>
  </si>
  <si>
    <t>201-716-2700</t>
  </si>
  <si>
    <t>Workinesh Spice Blend</t>
  </si>
  <si>
    <t>Lemlem@workineshspice.com</t>
  </si>
  <si>
    <t>P: (952)303-6710</t>
  </si>
  <si>
    <t>WORLD OF CHANTILLY</t>
  </si>
  <si>
    <t>freddy@chantilly.com</t>
  </si>
  <si>
    <t>tel:+17188591110</t>
  </si>
  <si>
    <t>World of Chantily</t>
  </si>
  <si>
    <t>Yaranoosh</t>
  </si>
  <si>
    <t>NY -Bx</t>
  </si>
  <si>
    <t>CLOSED March 2025</t>
  </si>
  <si>
    <t>YARANUSH MIDDLE EASTERN GOURMET</t>
  </si>
  <si>
    <t>armenbenlian@verizon.net</t>
  </si>
  <si>
    <t>tel:+19146828449</t>
  </si>
  <si>
    <t xml:space="preserve">Yehida from Darna Rest </t>
  </si>
  <si>
    <t>917-443-00326??? Kosher catering per Danny</t>
  </si>
  <si>
    <t>Yes Please</t>
  </si>
  <si>
    <t xml:space="preserve">Yosi Kitchen </t>
  </si>
  <si>
    <t>yosi@yosikithcen.com</t>
  </si>
  <si>
    <t>860-688-6677</t>
  </si>
  <si>
    <t>598 Hayden Station Rd, Windsor, CT 06095</t>
  </si>
  <si>
    <t>Yossef Kohser Bakery</t>
  </si>
  <si>
    <t>Fruitnut</t>
  </si>
  <si>
    <t>Yumtee Naturals</t>
  </si>
  <si>
    <t>Zabars</t>
  </si>
  <si>
    <t>Jberbere@zabar.com</t>
  </si>
  <si>
    <t>tel:+12127872000</t>
  </si>
  <si>
    <t>Zara Food Inc</t>
  </si>
  <si>
    <t>Zaro's Bakery</t>
  </si>
  <si>
    <t>tel:+17189935600</t>
  </si>
  <si>
    <t>Zayn Imports</t>
  </si>
  <si>
    <t>ZIYAD</t>
  </si>
  <si>
    <t>mreyes@ziyad.com</t>
  </si>
  <si>
    <t>708-298-3839</t>
  </si>
  <si>
    <t xml:space="preserve">Ziyad/Sahadi - Kelly - pistachios </t>
  </si>
  <si>
    <t>kcheop@ziyad.com</t>
  </si>
  <si>
    <t>Zolum</t>
  </si>
  <si>
    <t>Cold Calls</t>
  </si>
  <si>
    <t xml:space="preserve"> Joel also has Juiellet Foods </t>
  </si>
  <si>
    <t>Joel@juliettefoods.com</t>
  </si>
  <si>
    <t>Chicago</t>
  </si>
  <si>
    <t xml:space="preserve"> Macias Imports inc</t>
  </si>
  <si>
    <t>New ??</t>
  </si>
  <si>
    <t xml:space="preserve"> So. Supreme FC</t>
  </si>
  <si>
    <t>CANADA</t>
  </si>
  <si>
    <t>( &amp; Grain Zero!! )</t>
  </si>
  <si>
    <t>416-752-3366  Toronto</t>
  </si>
  <si>
    <t>NY - LI</t>
  </si>
  <si>
    <t>( Cobblestone Bakery )</t>
  </si>
  <si>
    <t>gina@auntbutchies.com</t>
  </si>
  <si>
    <t>** INACTIVE **</t>
  </si>
  <si>
    <t>cell# 347-251-9161</t>
  </si>
  <si>
    <t>cold call - needed prices on some dried fruit</t>
  </si>
  <si>
    <t>Office 732-902-0688 x101</t>
  </si>
  <si>
    <t>Brazil Nuts</t>
  </si>
  <si>
    <t>38 Brooklyn Terminal Market</t>
  </si>
  <si>
    <t>(718) 209-4587</t>
  </si>
  <si>
    <t>Raja Foods</t>
  </si>
  <si>
    <t>631-953-6970 directed to NJ office</t>
  </si>
  <si>
    <t xml:space="preserve">called need to send email to main </t>
  </si>
  <si>
    <t>917-291-5547</t>
  </si>
  <si>
    <t>www.mavunoharvest.com</t>
  </si>
  <si>
    <t>ORGANIC pineapple chunks 10,000lb</t>
  </si>
  <si>
    <t>reached out to every supplier on the Org Integrity Database</t>
  </si>
  <si>
    <t>www.phidelia.ca</t>
  </si>
  <si>
    <t>Daryoush Yazdi - CEO</t>
  </si>
  <si>
    <t>905-669-7942</t>
  </si>
  <si>
    <t>Baljinder Singh</t>
  </si>
  <si>
    <t xml:space="preserve">retailer owne cooperative-50 member co independtly operated supermarkets </t>
  </si>
  <si>
    <t>Newark NJ 07105</t>
  </si>
  <si>
    <t>973-589-3960</t>
  </si>
  <si>
    <t>502-583-4402</t>
  </si>
  <si>
    <t>dhiren.vadodaria@gmail.com</t>
  </si>
  <si>
    <t>ksl11361@gmail.com</t>
  </si>
  <si>
    <t>dpaolella@ultimatefoods.net</t>
  </si>
  <si>
    <t>Donna  - QA maybe spices knew Kadouri</t>
  </si>
  <si>
    <t>lestis77@gmail.com</t>
  </si>
  <si>
    <t>sukhadiasweets@yahoo.com</t>
  </si>
  <si>
    <t xml:space="preserve">buys pallet peanuts through star snack </t>
  </si>
  <si>
    <t>were too expensive</t>
  </si>
  <si>
    <t>refered by Hugh - peanuts &amp; pb</t>
  </si>
  <si>
    <t>office 718-945-1500</t>
  </si>
  <si>
    <t>customerservice@madelainechocolate.com</t>
  </si>
  <si>
    <t>Referred from Shah Trading</t>
  </si>
  <si>
    <t>problems shipping layers from Toronto to NJ</t>
  </si>
  <si>
    <t>rest</t>
  </si>
  <si>
    <t xml:space="preserve">referred to Danny by AtlUSa - Walnuts Gurrea Nut </t>
  </si>
  <si>
    <t>seasonal buiness March starts apx</t>
  </si>
  <si>
    <t>msullivan@seashorefood.com</t>
  </si>
  <si>
    <t xml:space="preserve">limited nuts but would like to look at list </t>
  </si>
  <si>
    <t>see 5lb nuts &amp; fruit need to call</t>
  </si>
  <si>
    <t>only see Alm Flour</t>
  </si>
  <si>
    <t>832-466-9361 Dallas Tx</t>
  </si>
  <si>
    <t>only the ckpeas rstd -dbl rstd-</t>
  </si>
  <si>
    <t>wal chp -pecan MP- Raisins Dk &amp; Gol</t>
  </si>
  <si>
    <t>Aseel Dates - Pakiystan</t>
  </si>
  <si>
    <t>Ilan Customer</t>
  </si>
  <si>
    <t>Zuyad Brothers</t>
  </si>
  <si>
    <t>81-10A Broadway. Elmhurst, NY</t>
  </si>
  <si>
    <t>per Danny</t>
  </si>
  <si>
    <t>Amitpatel   india_bazaar@hotmail.com</t>
  </si>
  <si>
    <t>720-649-5077</t>
  </si>
  <si>
    <t>akreadys@gmail.com</t>
  </si>
  <si>
    <t>spices - chick peas??</t>
  </si>
  <si>
    <t>Hamoon Foodstuff Trading LLC</t>
  </si>
  <si>
    <t>971-4-2260-033</t>
  </si>
  <si>
    <t>Donal cell# 971-52 6007-532</t>
  </si>
  <si>
    <t>Manoharan(00971 50 4201268)</t>
  </si>
  <si>
    <t>MKC GENERAL TRADING LLC, Dubai,</t>
  </si>
  <si>
    <t>AKcommey &lt;akcommey@eim.ae&gt;</t>
  </si>
  <si>
    <t>Tel:+971 4 2350972/2266770 | Fax:+971 4 2350973</t>
  </si>
  <si>
    <t>cell# 718-864-3188</t>
  </si>
  <si>
    <t>Afandinaus@yahoo.com</t>
  </si>
  <si>
    <t>office # M09, Mezzainine Floor, Al Ras area PO box 3767</t>
  </si>
  <si>
    <t>Rehma Al Shamsi Bldg, 1st Floor, Office#2,</t>
  </si>
  <si>
    <t>Al Khor Street, Deira Gold Souk, Dubai, U.A.E.   </t>
  </si>
  <si>
    <r>
      <t xml:space="preserve">Email: </t>
    </r>
    <r>
      <rPr>
        <sz val="8"/>
        <color theme="8" tint="-0.249977111117893"/>
        <rFont val="Mangal"/>
        <family val="1"/>
      </rPr>
      <t>akcommey@eim.ae | mkcdubai@gmail.com</t>
    </r>
  </si>
  <si>
    <t xml:space="preserve">www.mkcdubai.com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</si>
</sst>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;@"/>
  </numFmts>
  <fonts count="10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0"/>
      <color theme="7" tint="-0.499984740745262"/>
      <name val="Aptos Narrow"/>
      <family val="2"/>
      <scheme val="minor"/>
    </font>
    <font>
      <b/>
      <sz val="12"/>
      <color theme="7" tint="-0.499984740745262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7" tint="-0.499984740745262"/>
      <name val="Comic Sans MS"/>
      <family val="4"/>
    </font>
    <font>
      <sz val="11"/>
      <color theme="7" tint="-0.499984740745262"/>
      <name val="Comic Sans MS"/>
      <family val="4"/>
    </font>
    <font>
      <sz val="11"/>
      <color theme="9" tint="-0.249977111117893"/>
      <name val="Comic Sans MS"/>
      <family val="4"/>
    </font>
    <font>
      <sz val="11"/>
      <color rgb="FFFF0000"/>
      <name val="Comic Sans MS"/>
      <family val="4"/>
    </font>
    <font>
      <b/>
      <sz val="11"/>
      <color theme="7" tint="-0.499984740745262"/>
      <name val="Comic Sans MS"/>
      <family val="4"/>
    </font>
    <font>
      <u/>
      <sz val="11"/>
      <color theme="7" tint="-0.499984740745262"/>
      <name val="Comic Sans MS"/>
      <family val="4"/>
    </font>
    <font>
      <sz val="11"/>
      <color rgb="FFC00000"/>
      <name val="Aptos Narrow"/>
      <family val="2"/>
      <scheme val="minor"/>
    </font>
    <font>
      <sz val="11"/>
      <color rgb="FF7030A0"/>
      <name val="Comic Sans MS"/>
      <family val="4"/>
    </font>
    <font>
      <sz val="11"/>
      <color theme="8" tint="-0.249977111117893"/>
      <name val="Comic Sans MS"/>
      <family val="4"/>
    </font>
    <font>
      <i/>
      <sz val="11"/>
      <color theme="7" tint="-0.499984740745262"/>
      <name val="Comic Sans MS"/>
      <family val="4"/>
    </font>
    <font>
      <sz val="11"/>
      <color rgb="FFFF9933"/>
      <name val="Comic Sans MS"/>
      <family val="4"/>
    </font>
    <font>
      <sz val="11"/>
      <color theme="1"/>
      <name val="Comic Sans MS"/>
      <family val="4"/>
    </font>
    <font>
      <u/>
      <sz val="11"/>
      <name val="Comic Sans MS"/>
      <family val="4"/>
    </font>
    <font>
      <sz val="11"/>
      <color theme="8" tint="-0.499984740745262"/>
      <name val="Comic Sans MS"/>
      <family val="4"/>
    </font>
    <font>
      <b/>
      <sz val="11"/>
      <color theme="1"/>
      <name val="Comic Sans MS"/>
      <family val="4"/>
    </font>
    <font>
      <sz val="11"/>
      <color rgb="FFC00000"/>
      <name val="Comic Sans MS"/>
      <family val="4"/>
    </font>
    <font>
      <sz val="11"/>
      <name val="Comic Sans MS"/>
      <family val="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8" tint="-0.249977111117893"/>
      <name val="Calibri"/>
      <family val="2"/>
    </font>
    <font>
      <i/>
      <sz val="11"/>
      <color theme="9" tint="-0.499984740745262"/>
      <name val="Aptos Narrow"/>
      <family val="2"/>
      <scheme val="minor"/>
    </font>
    <font>
      <sz val="12"/>
      <name val="Calibri"/>
      <family val="2"/>
    </font>
    <font>
      <sz val="12"/>
      <name val="Aptos Narrow"/>
      <family val="2"/>
      <scheme val="minor"/>
    </font>
    <font>
      <u/>
      <sz val="12"/>
      <name val="Calibri"/>
      <family val="2"/>
    </font>
    <font>
      <sz val="12"/>
      <color theme="9" tint="-0.249977111117893"/>
      <name val="Calibri"/>
      <family val="2"/>
    </font>
    <font>
      <sz val="12"/>
      <color theme="8" tint="-0.249977111117893"/>
      <name val="Aptos"/>
      <family val="2"/>
    </font>
    <font>
      <sz val="12"/>
      <color theme="8" tint="-0.249977111117893"/>
      <name val="Calibri"/>
      <family val="2"/>
    </font>
    <font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C00000"/>
      <name val="Calibri"/>
      <family val="2"/>
    </font>
    <font>
      <u/>
      <sz val="12"/>
      <color theme="10"/>
      <name val="Calibri"/>
      <family val="2"/>
    </font>
    <font>
      <sz val="10"/>
      <color theme="9" tint="-0.249977111117893"/>
      <name val="Comic Sans MS"/>
      <family val="4"/>
    </font>
    <font>
      <sz val="10"/>
      <color theme="8" tint="-0.249977111117893"/>
      <name val="Comic Sans MS"/>
      <family val="4"/>
    </font>
    <font>
      <sz val="11"/>
      <color theme="9" tint="-0.249977111117893"/>
      <name val="Google Sans Text"/>
    </font>
    <font>
      <u/>
      <sz val="11"/>
      <color theme="9" tint="-0.249977111117893"/>
      <name val="Aptos Narrow"/>
      <family val="2"/>
      <scheme val="minor"/>
    </font>
    <font>
      <sz val="8"/>
      <color theme="9" tint="-0.249977111117893"/>
      <name val="Arial"/>
      <family val="2"/>
    </font>
    <font>
      <b/>
      <sz val="12"/>
      <color theme="9" tint="-0.249977111117893"/>
      <name val="Calibri"/>
      <family val="2"/>
    </font>
    <font>
      <u/>
      <sz val="11"/>
      <color theme="8" tint="-0.249977111117893"/>
      <name val="Aptos Narrow"/>
      <family val="2"/>
      <scheme val="minor"/>
    </font>
    <font>
      <sz val="12"/>
      <color theme="8" tint="-0.249977111117893"/>
      <name val="Aptos Narrow"/>
      <family val="2"/>
      <scheme val="minor"/>
    </font>
    <font>
      <u/>
      <sz val="12"/>
      <color theme="8" tint="-0.249977111117893"/>
      <name val="Calibri"/>
      <family val="2"/>
    </font>
    <font>
      <i/>
      <sz val="11"/>
      <color theme="8" tint="-0.249977111117893"/>
      <name val="Aptos Narrow"/>
      <family val="2"/>
      <scheme val="minor"/>
    </font>
    <font>
      <b/>
      <sz val="12"/>
      <color theme="8" tint="-0.249977111117893"/>
      <name val="Aptos"/>
      <family val="2"/>
    </font>
    <font>
      <b/>
      <sz val="8"/>
      <color theme="8" tint="-0.249977111117893"/>
      <name val="Arial Black"/>
      <family val="2"/>
    </font>
    <font>
      <sz val="8"/>
      <color theme="8" tint="-0.249977111117893"/>
      <name val="Verdana"/>
      <family val="2"/>
    </font>
    <font>
      <b/>
      <sz val="8"/>
      <color theme="8" tint="-0.249977111117893"/>
      <name val="Mangal"/>
      <family val="1"/>
    </font>
    <font>
      <sz val="8"/>
      <color theme="8" tint="-0.249977111117893"/>
      <name val="Mangal"/>
      <family val="1"/>
    </font>
    <font>
      <sz val="12"/>
      <color theme="8" tint="-0.249977111117893"/>
      <name val="Arial"/>
      <family val="2"/>
    </font>
    <font>
      <vertAlign val="superscript"/>
      <sz val="12"/>
      <color theme="8" tint="-0.249977111117893"/>
      <name val="Calibri"/>
      <family val="2"/>
    </font>
    <font>
      <sz val="10"/>
      <color rgb="FFFF0000"/>
      <name val="Comic Sans MS"/>
      <family val="4"/>
    </font>
    <font>
      <sz val="8"/>
      <name val="Aptos Narrow"/>
      <family val="2"/>
      <scheme val="minor"/>
    </font>
    <font>
      <sz val="11"/>
      <color rgb="FFFF6600"/>
      <name val="Comic Sans MS"/>
      <family val="4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11"/>
      <color rgb="FF686868"/>
      <name val="Arial"/>
      <family val="2"/>
    </font>
    <font>
      <sz val="11"/>
      <color rgb="FF686868"/>
      <name val="Arial"/>
      <family val="2"/>
    </font>
    <font>
      <b/>
      <sz val="12"/>
      <color rgb="FF000000"/>
      <name val="Arial"/>
      <family val="2"/>
    </font>
    <font>
      <b/>
      <sz val="2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sz val="16"/>
      <color rgb="FFC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5" tint="-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theme="9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4"/>
      <color theme="8" tint="-0.499984740745262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6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thin">
        <color auto="1"/>
      </right>
      <top style="medium">
        <color theme="9" tint="-0.499984740745262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6" tint="-0.249977111117893"/>
      </bottom>
      <diagonal/>
    </border>
    <border>
      <left style="medium">
        <color indexed="64"/>
      </left>
      <right style="medium">
        <color indexed="64"/>
      </right>
      <top/>
      <bottom style="thin">
        <color theme="6" tint="-0.24997711111789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36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0" fontId="12" fillId="0" borderId="2" xfId="2" applyFont="1" applyFill="1" applyBorder="1" applyAlignment="1">
      <alignment horizontal="left"/>
    </xf>
    <xf numFmtId="0" fontId="8" fillId="0" borderId="1" xfId="0" applyFont="1" applyBorder="1"/>
    <xf numFmtId="0" fontId="11" fillId="0" borderId="2" xfId="0" applyFont="1" applyBorder="1" applyAlignment="1">
      <alignment horizontal="left"/>
    </xf>
    <xf numFmtId="0" fontId="12" fillId="0" borderId="3" xfId="2" applyFont="1" applyFill="1" applyBorder="1" applyAlignment="1">
      <alignment horizontal="left"/>
    </xf>
    <xf numFmtId="0" fontId="12" fillId="0" borderId="3" xfId="2" applyFont="1" applyFill="1" applyBorder="1" applyAlignment="1">
      <alignment horizontal="left" vertical="center"/>
    </xf>
    <xf numFmtId="0" fontId="12" fillId="0" borderId="2" xfId="2" applyFont="1" applyFill="1" applyBorder="1"/>
    <xf numFmtId="0" fontId="16" fillId="0" borderId="2" xfId="2" applyFont="1" applyFill="1" applyBorder="1"/>
    <xf numFmtId="0" fontId="16" fillId="0" borderId="2" xfId="2" applyFont="1" applyFill="1" applyBorder="1" applyAlignment="1">
      <alignment horizontal="left"/>
    </xf>
    <xf numFmtId="0" fontId="3" fillId="0" borderId="2" xfId="2" applyFill="1" applyBorder="1" applyAlignment="1">
      <alignment horizontal="left"/>
    </xf>
    <xf numFmtId="0" fontId="14" fillId="0" borderId="2" xfId="2" applyFont="1" applyFill="1" applyBorder="1" applyAlignment="1">
      <alignment horizontal="left"/>
    </xf>
    <xf numFmtId="0" fontId="16" fillId="0" borderId="3" xfId="2" applyFont="1" applyFill="1" applyBorder="1" applyAlignment="1">
      <alignment horizontal="left"/>
    </xf>
    <xf numFmtId="0" fontId="16" fillId="0" borderId="2" xfId="2" applyFont="1" applyFill="1" applyBorder="1" applyAlignment="1">
      <alignment vertical="center"/>
    </xf>
    <xf numFmtId="0" fontId="12" fillId="0" borderId="2" xfId="2" applyFont="1" applyFill="1" applyBorder="1" applyAlignment="1">
      <alignment horizontal="left" vertical="center"/>
    </xf>
    <xf numFmtId="0" fontId="12" fillId="0" borderId="2" xfId="2" applyFont="1" applyFill="1" applyBorder="1" applyAlignment="1">
      <alignment horizontal="left" vertical="center" wrapText="1"/>
    </xf>
    <xf numFmtId="0" fontId="18" fillId="0" borderId="2" xfId="2" applyFont="1" applyFill="1" applyBorder="1" applyAlignment="1">
      <alignment horizontal="left"/>
    </xf>
    <xf numFmtId="0" fontId="12" fillId="0" borderId="3" xfId="2" applyFont="1" applyFill="1" applyBorder="1"/>
    <xf numFmtId="0" fontId="16" fillId="0" borderId="2" xfId="2" applyFont="1" applyFill="1" applyBorder="1" applyAlignment="1">
      <alignment horizontal="left" vertical="center"/>
    </xf>
    <xf numFmtId="0" fontId="27" fillId="0" borderId="3" xfId="2" applyFont="1" applyFill="1" applyBorder="1"/>
    <xf numFmtId="0" fontId="31" fillId="0" borderId="0" xfId="0" applyFont="1"/>
    <xf numFmtId="0" fontId="31" fillId="0" borderId="1" xfId="0" applyFont="1" applyBorder="1"/>
    <xf numFmtId="0" fontId="0" fillId="0" borderId="1" xfId="0" applyBorder="1"/>
    <xf numFmtId="0" fontId="33" fillId="0" borderId="0" xfId="0" applyFont="1"/>
    <xf numFmtId="0" fontId="17" fillId="0" borderId="0" xfId="0" applyFont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38" fillId="0" borderId="1" xfId="0" applyFont="1" applyBorder="1"/>
    <xf numFmtId="0" fontId="39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left"/>
    </xf>
    <xf numFmtId="0" fontId="36" fillId="0" borderId="1" xfId="2" applyFont="1" applyFill="1" applyBorder="1" applyAlignment="1">
      <alignment horizontal="left"/>
    </xf>
    <xf numFmtId="0" fontId="34" fillId="0" borderId="0" xfId="2" applyFont="1" applyFill="1" applyBorder="1"/>
    <xf numFmtId="0" fontId="40" fillId="0" borderId="0" xfId="0" applyFont="1"/>
    <xf numFmtId="0" fontId="40" fillId="0" borderId="1" xfId="0" applyFont="1" applyBorder="1" applyAlignment="1">
      <alignment horizontal="left"/>
    </xf>
    <xf numFmtId="0" fontId="40" fillId="0" borderId="1" xfId="0" applyFont="1" applyBorder="1"/>
    <xf numFmtId="0" fontId="11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9" fillId="0" borderId="1" xfId="0" applyFont="1" applyBorder="1"/>
    <xf numFmtId="0" fontId="46" fillId="0" borderId="1" xfId="0" applyFont="1" applyBorder="1" applyAlignment="1">
      <alignment vertical="center" wrapText="1"/>
    </xf>
    <xf numFmtId="0" fontId="9" fillId="0" borderId="0" xfId="0" applyFont="1"/>
    <xf numFmtId="0" fontId="46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39" fillId="0" borderId="1" xfId="0" applyFont="1" applyBorder="1"/>
    <xf numFmtId="0" fontId="51" fillId="0" borderId="1" xfId="0" applyFont="1" applyBorder="1"/>
    <xf numFmtId="0" fontId="51" fillId="0" borderId="1" xfId="0" applyFont="1" applyBorder="1" applyAlignment="1">
      <alignment horizontal="left"/>
    </xf>
    <xf numFmtId="0" fontId="39" fillId="0" borderId="1" xfId="0" applyFont="1" applyBorder="1" applyAlignment="1">
      <alignment vertical="center"/>
    </xf>
    <xf numFmtId="0" fontId="39" fillId="0" borderId="0" xfId="0" applyFont="1"/>
    <xf numFmtId="0" fontId="38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0" fillId="0" borderId="0" xfId="2" applyFont="1" applyAlignment="1">
      <alignment vertical="center"/>
    </xf>
    <xf numFmtId="0" fontId="57" fillId="0" borderId="0" xfId="0" applyFont="1"/>
    <xf numFmtId="0" fontId="51" fillId="4" borderId="1" xfId="0" applyFont="1" applyFill="1" applyBorder="1"/>
    <xf numFmtId="0" fontId="51" fillId="4" borderId="1" xfId="0" applyFont="1" applyFill="1" applyBorder="1" applyAlignment="1">
      <alignment horizontal="left"/>
    </xf>
    <xf numFmtId="0" fontId="39" fillId="0" borderId="0" xfId="0" applyFont="1" applyAlignment="1">
      <alignment horizontal="left"/>
    </xf>
    <xf numFmtId="0" fontId="39" fillId="0" borderId="0" xfId="2" applyFont="1" applyFill="1" applyBorder="1"/>
    <xf numFmtId="0" fontId="45" fillId="0" borderId="2" xfId="0" applyFont="1" applyBorder="1" applyAlignment="1">
      <alignment horizontal="left"/>
    </xf>
    <xf numFmtId="0" fontId="44" fillId="0" borderId="2" xfId="0" applyFont="1" applyBorder="1" applyAlignment="1">
      <alignment horizontal="left"/>
    </xf>
    <xf numFmtId="0" fontId="45" fillId="0" borderId="5" xfId="0" applyFont="1" applyBorder="1" applyAlignment="1">
      <alignment horizontal="left"/>
    </xf>
    <xf numFmtId="0" fontId="39" fillId="0" borderId="2" xfId="2" applyFont="1" applyFill="1" applyBorder="1" applyAlignment="1">
      <alignment horizontal="left" vertical="center"/>
    </xf>
    <xf numFmtId="0" fontId="52" fillId="0" borderId="2" xfId="2" applyFont="1" applyFill="1" applyBorder="1" applyAlignment="1">
      <alignment horizontal="left"/>
    </xf>
    <xf numFmtId="0" fontId="52" fillId="0" borderId="2" xfId="2" applyFont="1" applyFill="1" applyBorder="1" applyAlignment="1">
      <alignment horizontal="left" vertical="center"/>
    </xf>
    <xf numFmtId="0" fontId="16" fillId="0" borderId="1" xfId="2" applyFont="1" applyFill="1" applyBorder="1" applyAlignment="1">
      <alignment horizontal="left" vertical="center"/>
    </xf>
    <xf numFmtId="0" fontId="52" fillId="0" borderId="2" xfId="2" applyFont="1" applyFill="1" applyBorder="1" applyAlignment="1">
      <alignment vertical="center"/>
    </xf>
    <xf numFmtId="0" fontId="16" fillId="0" borderId="0" xfId="2" applyFont="1" applyFill="1" applyBorder="1" applyAlignment="1">
      <alignment horizontal="left"/>
    </xf>
    <xf numFmtId="0" fontId="23" fillId="0" borderId="1" xfId="2" applyFont="1" applyFill="1" applyBorder="1" applyAlignment="1">
      <alignment horizontal="left"/>
    </xf>
    <xf numFmtId="0" fontId="52" fillId="0" borderId="2" xfId="2" applyFont="1" applyFill="1" applyBorder="1"/>
    <xf numFmtId="0" fontId="39" fillId="0" borderId="3" xfId="2" applyFont="1" applyFill="1" applyBorder="1"/>
    <xf numFmtId="44" fontId="39" fillId="0" borderId="3" xfId="1" applyFont="1" applyFill="1" applyBorder="1" applyAlignment="1">
      <alignment horizontal="left"/>
    </xf>
    <xf numFmtId="0" fontId="43" fillId="0" borderId="3" xfId="2" applyFont="1" applyFill="1" applyBorder="1" applyAlignment="1">
      <alignment vertical="center"/>
    </xf>
    <xf numFmtId="0" fontId="16" fillId="0" borderId="1" xfId="2" applyFont="1" applyFill="1" applyBorder="1" applyAlignment="1">
      <alignment horizontal="left"/>
    </xf>
    <xf numFmtId="0" fontId="16" fillId="0" borderId="1" xfId="2" applyFont="1" applyFill="1" applyBorder="1" applyAlignment="1">
      <alignment vertical="center"/>
    </xf>
    <xf numFmtId="0" fontId="52" fillId="0" borderId="3" xfId="2" applyFont="1" applyFill="1" applyBorder="1"/>
    <xf numFmtId="0" fontId="34" fillId="0" borderId="3" xfId="2" applyFont="1" applyFill="1" applyBorder="1"/>
    <xf numFmtId="0" fontId="52" fillId="0" borderId="3" xfId="2" applyFont="1" applyFill="1" applyBorder="1" applyAlignment="1">
      <alignment horizontal="left"/>
    </xf>
    <xf numFmtId="0" fontId="52" fillId="0" borderId="0" xfId="2" applyFont="1" applyFill="1" applyBorder="1" applyAlignment="1">
      <alignment horizontal="left"/>
    </xf>
    <xf numFmtId="0" fontId="52" fillId="0" borderId="0" xfId="2" applyFont="1" applyFill="1" applyBorder="1"/>
    <xf numFmtId="0" fontId="51" fillId="0" borderId="0" xfId="0" applyFont="1"/>
    <xf numFmtId="0" fontId="0" fillId="0" borderId="11" xfId="0" applyBorder="1"/>
    <xf numFmtId="0" fontId="40" fillId="0" borderId="0" xfId="0" applyFont="1" applyAlignment="1">
      <alignment vertical="center"/>
    </xf>
    <xf numFmtId="0" fontId="51" fillId="0" borderId="0" xfId="2" applyFont="1" applyFill="1" applyBorder="1"/>
    <xf numFmtId="0" fontId="0" fillId="0" borderId="7" xfId="0" applyBorder="1"/>
    <xf numFmtId="0" fontId="35" fillId="0" borderId="0" xfId="0" applyFont="1"/>
    <xf numFmtId="0" fontId="51" fillId="0" borderId="0" xfId="0" applyFont="1" applyAlignment="1">
      <alignment vertical="center"/>
    </xf>
    <xf numFmtId="0" fontId="40" fillId="3" borderId="1" xfId="0" applyFont="1" applyFill="1" applyBorder="1"/>
    <xf numFmtId="0" fontId="51" fillId="0" borderId="0" xfId="0" applyFont="1" applyAlignment="1">
      <alignment horizontal="left"/>
    </xf>
    <xf numFmtId="0" fontId="51" fillId="0" borderId="13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0" fillId="0" borderId="8" xfId="0" applyBorder="1"/>
    <xf numFmtId="0" fontId="35" fillId="0" borderId="0" xfId="0" applyFont="1" applyAlignment="1">
      <alignment horizontal="left"/>
    </xf>
    <xf numFmtId="0" fontId="51" fillId="0" borderId="14" xfId="0" applyFont="1" applyBorder="1" applyAlignment="1">
      <alignment horizontal="left"/>
    </xf>
    <xf numFmtId="0" fontId="51" fillId="0" borderId="13" xfId="0" applyFont="1" applyBorder="1"/>
    <xf numFmtId="0" fontId="0" fillId="0" borderId="9" xfId="0" applyBorder="1"/>
    <xf numFmtId="0" fontId="51" fillId="0" borderId="14" xfId="0" applyFont="1" applyBorder="1"/>
    <xf numFmtId="0" fontId="5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39" fillId="0" borderId="2" xfId="0" applyFont="1" applyBorder="1"/>
    <xf numFmtId="16" fontId="39" fillId="0" borderId="2" xfId="0" applyNumberFormat="1" applyFont="1" applyBorder="1" applyAlignment="1">
      <alignment horizontal="left" vertical="center"/>
    </xf>
    <xf numFmtId="0" fontId="39" fillId="0" borderId="3" xfId="0" applyFont="1" applyBorder="1" applyAlignment="1">
      <alignment horizontal="left"/>
    </xf>
    <xf numFmtId="0" fontId="12" fillId="0" borderId="2" xfId="0" applyFont="1" applyBorder="1"/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61" fillId="0" borderId="2" xfId="0" applyFont="1" applyBorder="1" applyAlignment="1">
      <alignment horizontal="left"/>
    </xf>
    <xf numFmtId="14" fontId="12" fillId="0" borderId="2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 vertical="center"/>
    </xf>
    <xf numFmtId="0" fontId="11" fillId="0" borderId="2" xfId="0" applyFont="1" applyBorder="1"/>
    <xf numFmtId="0" fontId="38" fillId="0" borderId="2" xfId="0" applyFont="1" applyBorder="1"/>
    <xf numFmtId="0" fontId="39" fillId="0" borderId="2" xfId="0" applyFont="1" applyBorder="1" applyAlignment="1">
      <alignment horizontal="left" vertical="center"/>
    </xf>
    <xf numFmtId="0" fontId="50" fillId="0" borderId="2" xfId="2" applyFont="1" applyFill="1" applyBorder="1" applyAlignment="1">
      <alignment horizontal="left" vertical="center"/>
    </xf>
    <xf numFmtId="0" fontId="39" fillId="0" borderId="2" xfId="0" applyFont="1" applyBorder="1" applyAlignment="1">
      <alignment vertical="center"/>
    </xf>
    <xf numFmtId="0" fontId="12" fillId="0" borderId="2" xfId="0" quotePrefix="1" applyFont="1" applyBorder="1"/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0" fontId="38" fillId="0" borderId="5" xfId="0" applyFont="1" applyBorder="1"/>
    <xf numFmtId="0" fontId="11" fillId="0" borderId="5" xfId="0" applyFont="1" applyBorder="1" applyAlignment="1">
      <alignment horizontal="left"/>
    </xf>
    <xf numFmtId="0" fontId="12" fillId="0" borderId="5" xfId="0" applyFont="1" applyBorder="1"/>
    <xf numFmtId="0" fontId="3" fillId="0" borderId="2" xfId="2" applyFill="1" applyBorder="1"/>
    <xf numFmtId="0" fontId="12" fillId="0" borderId="3" xfId="0" applyFont="1" applyBorder="1"/>
    <xf numFmtId="14" fontId="37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7" fillId="0" borderId="2" xfId="0" applyFont="1" applyBorder="1"/>
    <xf numFmtId="0" fontId="46" fillId="0" borderId="2" xfId="0" applyFont="1" applyBorder="1"/>
    <xf numFmtId="0" fontId="9" fillId="0" borderId="3" xfId="0" applyFont="1" applyBorder="1"/>
    <xf numFmtId="0" fontId="14" fillId="0" borderId="3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50" fillId="0" borderId="3" xfId="2" applyFont="1" applyFill="1" applyBorder="1" applyAlignment="1">
      <alignment horizontal="left"/>
    </xf>
    <xf numFmtId="0" fontId="50" fillId="0" borderId="0" xfId="2" applyFont="1" applyFill="1" applyBorder="1"/>
    <xf numFmtId="0" fontId="37" fillId="0" borderId="2" xfId="0" applyFont="1" applyBorder="1" applyAlignment="1">
      <alignment horizontal="center"/>
    </xf>
    <xf numFmtId="0" fontId="47" fillId="0" borderId="2" xfId="2" applyFont="1" applyFill="1" applyBorder="1"/>
    <xf numFmtId="0" fontId="50" fillId="0" borderId="2" xfId="2" applyFont="1" applyFill="1" applyBorder="1"/>
    <xf numFmtId="0" fontId="39" fillId="0" borderId="3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3" fillId="0" borderId="3" xfId="2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9" fillId="0" borderId="3" xfId="0" applyFont="1" applyBorder="1"/>
    <xf numFmtId="0" fontId="46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left" vertical="center"/>
    </xf>
    <xf numFmtId="0" fontId="13" fillId="0" borderId="2" xfId="0" applyFont="1" applyBorder="1"/>
    <xf numFmtId="14" fontId="15" fillId="0" borderId="2" xfId="0" applyNumberFormat="1" applyFont="1" applyBorder="1" applyAlignment="1">
      <alignment horizontal="left"/>
    </xf>
    <xf numFmtId="0" fontId="9" fillId="0" borderId="2" xfId="0" applyFont="1" applyBorder="1"/>
    <xf numFmtId="0" fontId="15" fillId="0" borderId="2" xfId="0" applyFont="1" applyBorder="1"/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27" fillId="0" borderId="2" xfId="0" applyFont="1" applyBorder="1"/>
    <xf numFmtId="0" fontId="27" fillId="0" borderId="2" xfId="0" applyFont="1" applyBorder="1" applyAlignment="1">
      <alignment horizontal="left" vertical="center"/>
    </xf>
    <xf numFmtId="0" fontId="27" fillId="0" borderId="3" xfId="0" applyFont="1" applyBorder="1" applyAlignment="1">
      <alignment horizontal="left"/>
    </xf>
    <xf numFmtId="0" fontId="0" fillId="0" borderId="2" xfId="0" applyBorder="1"/>
    <xf numFmtId="0" fontId="34" fillId="0" borderId="2" xfId="0" applyFont="1" applyBorder="1"/>
    <xf numFmtId="0" fontId="34" fillId="0" borderId="2" xfId="0" applyFont="1" applyBorder="1" applyAlignment="1">
      <alignment horizontal="left" vertical="center"/>
    </xf>
    <xf numFmtId="0" fontId="34" fillId="0" borderId="3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4" fillId="0" borderId="0" xfId="0" applyFont="1"/>
    <xf numFmtId="0" fontId="20" fillId="0" borderId="3" xfId="0" applyFont="1" applyBorder="1" applyAlignment="1">
      <alignment horizontal="left" vertical="center" wrapText="1"/>
    </xf>
    <xf numFmtId="0" fontId="50" fillId="0" borderId="2" xfId="2" applyFont="1" applyFill="1" applyBorder="1" applyAlignment="1">
      <alignment horizontal="left"/>
    </xf>
    <xf numFmtId="0" fontId="3" fillId="0" borderId="3" xfId="2" applyFill="1" applyBorder="1" applyAlignment="1">
      <alignment horizontal="left" vertical="center"/>
    </xf>
    <xf numFmtId="16" fontId="34" fillId="0" borderId="2" xfId="0" applyNumberFormat="1" applyFont="1" applyBorder="1" applyAlignment="1">
      <alignment horizontal="left" vertical="center"/>
    </xf>
    <xf numFmtId="0" fontId="48" fillId="0" borderId="3" xfId="0" applyFont="1" applyBorder="1"/>
    <xf numFmtId="0" fontId="47" fillId="0" borderId="2" xfId="2" applyFont="1" applyFill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39" fillId="0" borderId="3" xfId="0" applyFont="1" applyBorder="1" applyAlignment="1">
      <alignment vertical="center"/>
    </xf>
    <xf numFmtId="0" fontId="22" fillId="0" borderId="2" xfId="0" applyFont="1" applyBorder="1"/>
    <xf numFmtId="0" fontId="26" fillId="0" borderId="2" xfId="0" applyFont="1" applyBorder="1"/>
    <xf numFmtId="0" fontId="22" fillId="0" borderId="3" xfId="0" applyFont="1" applyBorder="1"/>
    <xf numFmtId="0" fontId="31" fillId="0" borderId="2" xfId="0" applyFont="1" applyBorder="1"/>
    <xf numFmtId="0" fontId="41" fillId="0" borderId="2" xfId="0" applyFont="1" applyBorder="1"/>
    <xf numFmtId="0" fontId="31" fillId="0" borderId="3" xfId="0" applyFont="1" applyBorder="1"/>
    <xf numFmtId="0" fontId="31" fillId="0" borderId="3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15" fillId="0" borderId="2" xfId="0" applyFont="1" applyBorder="1" applyAlignment="1">
      <alignment horizontal="center"/>
    </xf>
    <xf numFmtId="0" fontId="42" fillId="0" borderId="2" xfId="0" applyFont="1" applyBorder="1" applyAlignment="1">
      <alignment horizontal="left"/>
    </xf>
    <xf numFmtId="0" fontId="31" fillId="0" borderId="3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21" fillId="0" borderId="2" xfId="0" applyFont="1" applyBorder="1" applyAlignment="1">
      <alignment horizontal="left"/>
    </xf>
    <xf numFmtId="0" fontId="39" fillId="0" borderId="0" xfId="0" applyFont="1" applyAlignment="1">
      <alignment vertical="center"/>
    </xf>
    <xf numFmtId="0" fontId="32" fillId="0" borderId="2" xfId="0" applyFont="1" applyBorder="1" applyAlignment="1">
      <alignment horizontal="left"/>
    </xf>
    <xf numFmtId="0" fontId="59" fillId="0" borderId="2" xfId="0" applyFont="1" applyBorder="1"/>
    <xf numFmtId="14" fontId="49" fillId="0" borderId="2" xfId="0" applyNumberFormat="1" applyFont="1" applyBorder="1" applyAlignment="1">
      <alignment horizontal="center"/>
    </xf>
    <xf numFmtId="0" fontId="16" fillId="0" borderId="3" xfId="2" applyFont="1" applyFill="1" applyBorder="1" applyAlignment="1">
      <alignment horizontal="left" vertical="center"/>
    </xf>
    <xf numFmtId="0" fontId="19" fillId="0" borderId="2" xfId="0" applyFont="1" applyBorder="1"/>
    <xf numFmtId="0" fontId="12" fillId="0" borderId="2" xfId="0" quotePrefix="1" applyFont="1" applyBorder="1" applyAlignment="1">
      <alignment vertical="center"/>
    </xf>
    <xf numFmtId="0" fontId="54" fillId="0" borderId="2" xfId="0" applyFont="1" applyBorder="1"/>
    <xf numFmtId="0" fontId="32" fillId="0" borderId="0" xfId="0" applyFont="1" applyAlignment="1">
      <alignment horizontal="left"/>
    </xf>
    <xf numFmtId="0" fontId="11" fillId="0" borderId="0" xfId="0" applyFont="1"/>
    <xf numFmtId="0" fontId="11" fillId="0" borderId="2" xfId="0" quotePrefix="1" applyFont="1" applyBorder="1" applyAlignment="1">
      <alignment horizontal="left"/>
    </xf>
    <xf numFmtId="0" fontId="42" fillId="0" borderId="2" xfId="0" applyFont="1" applyBorder="1"/>
    <xf numFmtId="0" fontId="46" fillId="0" borderId="2" xfId="0" applyFont="1" applyBorder="1" applyAlignment="1">
      <alignment vertical="center"/>
    </xf>
    <xf numFmtId="0" fontId="34" fillId="0" borderId="2" xfId="0" applyFont="1" applyBorder="1" applyAlignment="1">
      <alignment vertical="center" wrapText="1"/>
    </xf>
    <xf numFmtId="0" fontId="39" fillId="0" borderId="2" xfId="0" applyFont="1" applyBorder="1" applyAlignment="1">
      <alignment vertical="center" wrapText="1"/>
    </xf>
    <xf numFmtId="0" fontId="39" fillId="0" borderId="3" xfId="0" applyFont="1" applyBorder="1" applyAlignment="1">
      <alignment vertical="center" wrapText="1"/>
    </xf>
    <xf numFmtId="0" fontId="49" fillId="0" borderId="2" xfId="0" applyFont="1" applyBorder="1" applyAlignment="1">
      <alignment horizontal="center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16" fontId="50" fillId="0" borderId="2" xfId="2" applyNumberFormat="1" applyFont="1" applyFill="1" applyBorder="1" applyAlignment="1">
      <alignment horizontal="left" vertical="center"/>
    </xf>
    <xf numFmtId="0" fontId="50" fillId="0" borderId="0" xfId="2" applyFont="1" applyFill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2" fillId="0" borderId="3" xfId="0" applyFont="1" applyBorder="1" applyAlignment="1">
      <alignment vertical="center" wrapText="1"/>
    </xf>
    <xf numFmtId="0" fontId="12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2" fillId="0" borderId="0" xfId="0" applyFont="1"/>
    <xf numFmtId="0" fontId="15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2" fillId="0" borderId="0" xfId="0" applyFont="1"/>
    <xf numFmtId="0" fontId="23" fillId="0" borderId="0" xfId="2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2" fillId="0" borderId="0" xfId="2" applyFont="1" applyFill="1" applyBorder="1" applyAlignment="1">
      <alignment horizontal="left"/>
    </xf>
    <xf numFmtId="0" fontId="0" fillId="0" borderId="10" xfId="0" applyBorder="1"/>
    <xf numFmtId="0" fontId="0" fillId="0" borderId="4" xfId="0" applyBorder="1"/>
    <xf numFmtId="16" fontId="12" fillId="0" borderId="1" xfId="0" applyNumberFormat="1" applyFont="1" applyBorder="1" applyAlignment="1">
      <alignment horizontal="left" vertical="center"/>
    </xf>
    <xf numFmtId="16" fontId="12" fillId="0" borderId="1" xfId="2" applyNumberFormat="1" applyFont="1" applyFill="1" applyBorder="1" applyAlignment="1">
      <alignment horizontal="left" vertical="center"/>
    </xf>
    <xf numFmtId="0" fontId="12" fillId="0" borderId="7" xfId="0" applyFont="1" applyBorder="1" applyAlignment="1">
      <alignment horizontal="left"/>
    </xf>
    <xf numFmtId="0" fontId="15" fillId="0" borderId="12" xfId="0" applyFont="1" applyBorder="1"/>
    <xf numFmtId="0" fontId="12" fillId="0" borderId="1" xfId="2" applyFont="1" applyFill="1" applyBorder="1"/>
    <xf numFmtId="0" fontId="61" fillId="0" borderId="0" xfId="0" applyFont="1" applyAlignment="1">
      <alignment horizontal="left"/>
    </xf>
    <xf numFmtId="0" fontId="22" fillId="0" borderId="1" xfId="0" applyFont="1" applyBorder="1"/>
    <xf numFmtId="0" fontId="22" fillId="0" borderId="1" xfId="0" applyFont="1" applyBorder="1" applyAlignment="1">
      <alignment horizontal="left"/>
    </xf>
    <xf numFmtId="0" fontId="27" fillId="0" borderId="1" xfId="0" applyFont="1" applyBorder="1"/>
    <xf numFmtId="0" fontId="0" fillId="0" borderId="1" xfId="0" applyBorder="1" applyAlignment="1">
      <alignment horizontal="left"/>
    </xf>
    <xf numFmtId="0" fontId="50" fillId="0" borderId="1" xfId="2" applyFont="1" applyFill="1" applyBorder="1" applyAlignment="1">
      <alignment horizontal="left" vertical="center"/>
    </xf>
    <xf numFmtId="0" fontId="50" fillId="0" borderId="1" xfId="2" applyFont="1" applyFill="1" applyBorder="1" applyAlignment="1">
      <alignment horizontal="left"/>
    </xf>
    <xf numFmtId="0" fontId="3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0" fillId="0" borderId="0" xfId="2" applyFont="1" applyFill="1" applyAlignment="1">
      <alignment vertical="center"/>
    </xf>
    <xf numFmtId="0" fontId="14" fillId="0" borderId="2" xfId="0" applyFont="1" applyBorder="1"/>
    <xf numFmtId="0" fontId="14" fillId="0" borderId="2" xfId="0" applyFont="1" applyBorder="1" applyAlignment="1">
      <alignment horizontal="left"/>
    </xf>
    <xf numFmtId="0" fontId="63" fillId="0" borderId="2" xfId="0" applyFont="1" applyBorder="1"/>
    <xf numFmtId="0" fontId="63" fillId="0" borderId="2" xfId="0" applyFont="1" applyBorder="1" applyAlignment="1">
      <alignment vertic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wrapText="1"/>
    </xf>
    <xf numFmtId="0" fontId="65" fillId="6" borderId="15" xfId="0" applyFont="1" applyFill="1" applyBorder="1" applyAlignment="1">
      <alignment horizontal="center" vertical="center"/>
    </xf>
    <xf numFmtId="0" fontId="65" fillId="4" borderId="15" xfId="0" applyFont="1" applyFill="1" applyBorder="1" applyAlignment="1">
      <alignment horizontal="center" vertical="center"/>
    </xf>
    <xf numFmtId="0" fontId="65" fillId="4" borderId="16" xfId="0" applyFont="1" applyFill="1" applyBorder="1" applyAlignment="1">
      <alignment horizontal="center" vertical="center"/>
    </xf>
    <xf numFmtId="0" fontId="65" fillId="4" borderId="17" xfId="0" applyFont="1" applyFill="1" applyBorder="1" applyAlignment="1">
      <alignment horizontal="center" vertical="center"/>
    </xf>
    <xf numFmtId="0" fontId="65" fillId="4" borderId="17" xfId="0" applyFont="1" applyFill="1" applyBorder="1" applyAlignment="1">
      <alignment horizontal="center" vertical="center" wrapText="1"/>
    </xf>
    <xf numFmtId="0" fontId="65" fillId="4" borderId="15" xfId="0" applyFont="1" applyFill="1" applyBorder="1" applyAlignment="1">
      <alignment horizontal="center" vertical="center" wrapText="1"/>
    </xf>
    <xf numFmtId="0" fontId="0" fillId="7" borderId="0" xfId="0" applyFill="1"/>
    <xf numFmtId="0" fontId="66" fillId="8" borderId="15" xfId="0" applyFont="1" applyFill="1" applyBorder="1" applyAlignment="1">
      <alignment horizontal="center" vertical="center"/>
    </xf>
    <xf numFmtId="0" fontId="65" fillId="9" borderId="18" xfId="0" applyFont="1" applyFill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/>
    <xf numFmtId="0" fontId="65" fillId="0" borderId="23" xfId="0" applyFont="1" applyBorder="1" applyAlignment="1">
      <alignment horizontal="left"/>
    </xf>
    <xf numFmtId="0" fontId="0" fillId="2" borderId="23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/>
    <xf numFmtId="0" fontId="0" fillId="2" borderId="23" xfId="0" applyFill="1" applyBorder="1" applyAlignment="1">
      <alignment horizontal="left"/>
    </xf>
    <xf numFmtId="0" fontId="65" fillId="9" borderId="23" xfId="0" applyFont="1" applyFill="1" applyBorder="1" applyAlignment="1">
      <alignment horizontal="left"/>
    </xf>
    <xf numFmtId="0" fontId="0" fillId="8" borderId="23" xfId="0" applyFill="1" applyBorder="1" applyAlignment="1">
      <alignment horizontal="center"/>
    </xf>
    <xf numFmtId="0" fontId="65" fillId="5" borderId="23" xfId="0" applyFont="1" applyFill="1" applyBorder="1" applyAlignment="1">
      <alignment horizontal="left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5" fillId="0" borderId="27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65" fillId="0" borderId="0" xfId="0" applyFont="1" applyAlignment="1">
      <alignment horizontal="left"/>
    </xf>
    <xf numFmtId="0" fontId="0" fillId="2" borderId="1" xfId="0" applyFill="1" applyBorder="1" applyAlignment="1">
      <alignment horizontal="left"/>
    </xf>
    <xf numFmtId="0" fontId="64" fillId="0" borderId="0" xfId="0" applyFont="1" applyAlignment="1">
      <alignment horizontal="center"/>
    </xf>
    <xf numFmtId="0" fontId="67" fillId="0" borderId="23" xfId="0" applyFont="1" applyBorder="1" applyAlignment="1">
      <alignment horizontal="left"/>
    </xf>
    <xf numFmtId="0" fontId="68" fillId="10" borderId="23" xfId="0" applyFont="1" applyFill="1" applyBorder="1" applyAlignment="1">
      <alignment horizontal="left"/>
    </xf>
    <xf numFmtId="0" fontId="40" fillId="2" borderId="23" xfId="0" applyFont="1" applyFill="1" applyBorder="1" applyAlignment="1">
      <alignment horizontal="left"/>
    </xf>
    <xf numFmtId="0" fontId="40" fillId="0" borderId="23" xfId="0" applyFont="1" applyBorder="1" applyAlignment="1">
      <alignment horizontal="left"/>
    </xf>
    <xf numFmtId="0" fontId="2" fillId="11" borderId="0" xfId="0" applyFont="1" applyFill="1"/>
    <xf numFmtId="0" fontId="40" fillId="2" borderId="23" xfId="0" applyFont="1" applyFill="1" applyBorder="1" applyAlignment="1">
      <alignment horizontal="center"/>
    </xf>
    <xf numFmtId="0" fontId="64" fillId="0" borderId="25" xfId="0" applyFont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69" fillId="8" borderId="23" xfId="0" applyFont="1" applyFill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70" fillId="0" borderId="0" xfId="0" applyFont="1"/>
    <xf numFmtId="0" fontId="64" fillId="0" borderId="0" xfId="0" applyFont="1" applyAlignment="1">
      <alignment horizontal="left"/>
    </xf>
    <xf numFmtId="0" fontId="71" fillId="0" borderId="0" xfId="0" applyFont="1" applyAlignment="1">
      <alignment horizontal="left"/>
    </xf>
    <xf numFmtId="0" fontId="72" fillId="0" borderId="0" xfId="0" applyFont="1" applyAlignment="1">
      <alignment horizontal="center"/>
    </xf>
    <xf numFmtId="0" fontId="65" fillId="2" borderId="23" xfId="0" applyFont="1" applyFill="1" applyBorder="1" applyAlignment="1">
      <alignment horizontal="left"/>
    </xf>
    <xf numFmtId="0" fontId="40" fillId="12" borderId="23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40" fillId="2" borderId="28" xfId="0" applyFont="1" applyFill="1" applyBorder="1" applyAlignment="1">
      <alignment horizontal="center"/>
    </xf>
    <xf numFmtId="0" fontId="40" fillId="2" borderId="25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40" fillId="0" borderId="24" xfId="0" applyFont="1" applyBorder="1" applyAlignment="1">
      <alignment horizontal="center"/>
    </xf>
    <xf numFmtId="0" fontId="64" fillId="0" borderId="23" xfId="0" applyFont="1" applyBorder="1" applyAlignment="1">
      <alignment horizontal="left"/>
    </xf>
    <xf numFmtId="0" fontId="0" fillId="0" borderId="30" xfId="0" applyBorder="1" applyAlignment="1">
      <alignment horizontal="center"/>
    </xf>
    <xf numFmtId="0" fontId="65" fillId="0" borderId="31" xfId="0" applyFont="1" applyBorder="1" applyAlignment="1">
      <alignment horizontal="left"/>
    </xf>
    <xf numFmtId="0" fontId="0" fillId="2" borderId="31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/>
    <xf numFmtId="0" fontId="64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5" fillId="2" borderId="1" xfId="0" applyFont="1" applyFill="1" applyBorder="1" applyAlignment="1">
      <alignment horizontal="left"/>
    </xf>
    <xf numFmtId="0" fontId="65" fillId="5" borderId="1" xfId="0" applyFont="1" applyFill="1" applyBorder="1" applyAlignment="1">
      <alignment horizontal="left"/>
    </xf>
    <xf numFmtId="0" fontId="65" fillId="2" borderId="13" xfId="0" applyFont="1" applyFill="1" applyBorder="1" applyAlignment="1">
      <alignment horizontal="left"/>
    </xf>
    <xf numFmtId="0" fontId="0" fillId="2" borderId="18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40" fillId="5" borderId="23" xfId="0" applyFont="1" applyFill="1" applyBorder="1" applyAlignment="1">
      <alignment horizontal="left"/>
    </xf>
    <xf numFmtId="0" fontId="40" fillId="5" borderId="23" xfId="0" applyFont="1" applyFill="1" applyBorder="1" applyAlignment="1">
      <alignment horizontal="center"/>
    </xf>
    <xf numFmtId="0" fontId="65" fillId="2" borderId="23" xfId="0" applyFont="1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0" fillId="2" borderId="31" xfId="0" applyFont="1" applyFill="1" applyBorder="1" applyAlignment="1">
      <alignment horizontal="center"/>
    </xf>
    <xf numFmtId="0" fontId="73" fillId="0" borderId="0" xfId="0" applyFont="1"/>
    <xf numFmtId="0" fontId="74" fillId="0" borderId="0" xfId="0" applyFont="1"/>
    <xf numFmtId="0" fontId="75" fillId="0" borderId="0" xfId="0" applyFont="1" applyAlignment="1">
      <alignment vertical="center" wrapText="1"/>
    </xf>
    <xf numFmtId="0" fontId="73" fillId="0" borderId="0" xfId="0" applyFont="1" applyAlignment="1">
      <alignment horizontal="left" vertical="center" wrapText="1" indent="1"/>
    </xf>
    <xf numFmtId="0" fontId="0" fillId="0" borderId="2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78" fillId="0" borderId="0" xfId="0" applyFont="1"/>
    <xf numFmtId="0" fontId="79" fillId="0" borderId="0" xfId="0" applyFont="1"/>
    <xf numFmtId="0" fontId="80" fillId="0" borderId="0" xfId="0" applyFont="1"/>
    <xf numFmtId="0" fontId="78" fillId="0" borderId="0" xfId="0" applyFont="1" applyAlignment="1">
      <alignment horizontal="center"/>
    </xf>
    <xf numFmtId="164" fontId="81" fillId="0" borderId="0" xfId="0" applyNumberFormat="1" applyFont="1" applyAlignment="1">
      <alignment horizontal="center"/>
    </xf>
    <xf numFmtId="0" fontId="30" fillId="0" borderId="38" xfId="0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39" xfId="0" applyFont="1" applyBorder="1" applyAlignment="1">
      <alignment horizontal="center" vertical="center"/>
    </xf>
    <xf numFmtId="0" fontId="85" fillId="13" borderId="40" xfId="0" applyFont="1" applyFill="1" applyBorder="1" applyAlignment="1">
      <alignment horizontal="center"/>
    </xf>
    <xf numFmtId="0" fontId="85" fillId="13" borderId="41" xfId="0" applyFont="1" applyFill="1" applyBorder="1" applyAlignment="1">
      <alignment horizontal="center"/>
    </xf>
    <xf numFmtId="0" fontId="86" fillId="13" borderId="41" xfId="0" applyFont="1" applyFill="1" applyBorder="1"/>
    <xf numFmtId="44" fontId="85" fillId="13" borderId="41" xfId="1" applyFont="1" applyFill="1" applyBorder="1"/>
    <xf numFmtId="44" fontId="85" fillId="13" borderId="42" xfId="1" applyFont="1" applyFill="1" applyBorder="1" applyAlignment="1">
      <alignment horizontal="center"/>
    </xf>
    <xf numFmtId="0" fontId="85" fillId="0" borderId="30" xfId="0" applyFont="1" applyBorder="1" applyAlignment="1">
      <alignment horizontal="center"/>
    </xf>
    <xf numFmtId="0" fontId="85" fillId="0" borderId="43" xfId="0" applyFont="1" applyBorder="1"/>
    <xf numFmtId="44" fontId="70" fillId="0" borderId="30" xfId="1" applyFont="1" applyFill="1" applyBorder="1"/>
    <xf numFmtId="0" fontId="85" fillId="0" borderId="23" xfId="0" applyFont="1" applyBorder="1" applyAlignment="1">
      <alignment horizontal="center"/>
    </xf>
    <xf numFmtId="0" fontId="85" fillId="0" borderId="28" xfId="0" applyFont="1" applyBorder="1"/>
    <xf numFmtId="44" fontId="70" fillId="0" borderId="23" xfId="1" applyFont="1" applyFill="1" applyBorder="1"/>
    <xf numFmtId="44" fontId="85" fillId="0" borderId="23" xfId="1" applyFont="1" applyFill="1" applyBorder="1"/>
    <xf numFmtId="44" fontId="85" fillId="0" borderId="23" xfId="1" applyFont="1" applyFill="1" applyBorder="1" applyAlignment="1">
      <alignment horizontal="center"/>
    </xf>
    <xf numFmtId="44" fontId="87" fillId="0" borderId="23" xfId="1" applyFont="1" applyFill="1" applyBorder="1"/>
    <xf numFmtId="44" fontId="79" fillId="0" borderId="23" xfId="1" applyFont="1" applyFill="1" applyBorder="1"/>
    <xf numFmtId="44" fontId="2" fillId="0" borderId="23" xfId="1" applyFont="1" applyFill="1" applyBorder="1" applyAlignment="1">
      <alignment horizontal="center"/>
    </xf>
    <xf numFmtId="44" fontId="70" fillId="0" borderId="23" xfId="1" applyFont="1" applyFill="1" applyBorder="1" applyAlignment="1">
      <alignment horizontal="center"/>
    </xf>
    <xf numFmtId="44" fontId="87" fillId="0" borderId="23" xfId="1" applyFont="1" applyFill="1" applyBorder="1" applyAlignment="1">
      <alignment horizontal="center"/>
    </xf>
    <xf numFmtId="44" fontId="88" fillId="0" borderId="23" xfId="1" applyFont="1" applyFill="1" applyBorder="1"/>
    <xf numFmtId="0" fontId="85" fillId="0" borderId="44" xfId="0" applyFont="1" applyBorder="1" applyAlignment="1">
      <alignment horizontal="center"/>
    </xf>
    <xf numFmtId="0" fontId="0" fillId="0" borderId="44" xfId="0" applyBorder="1"/>
    <xf numFmtId="0" fontId="85" fillId="0" borderId="45" xfId="0" applyFont="1" applyBorder="1"/>
    <xf numFmtId="44" fontId="87" fillId="0" borderId="44" xfId="1" applyFont="1" applyFill="1" applyBorder="1"/>
    <xf numFmtId="44" fontId="87" fillId="0" borderId="44" xfId="1" applyFont="1" applyFill="1" applyBorder="1" applyAlignment="1">
      <alignment horizontal="center"/>
    </xf>
    <xf numFmtId="44" fontId="87" fillId="0" borderId="30" xfId="1" applyFont="1" applyFill="1" applyBorder="1"/>
    <xf numFmtId="44" fontId="89" fillId="0" borderId="30" xfId="1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44" fontId="85" fillId="0" borderId="44" xfId="1" applyFont="1" applyBorder="1"/>
    <xf numFmtId="44" fontId="17" fillId="0" borderId="44" xfId="1" applyFont="1" applyBorder="1"/>
    <xf numFmtId="44" fontId="17" fillId="13" borderId="42" xfId="1" applyFont="1" applyFill="1" applyBorder="1" applyAlignment="1">
      <alignment horizontal="left"/>
    </xf>
    <xf numFmtId="0" fontId="0" fillId="0" borderId="46" xfId="0" applyBorder="1"/>
    <xf numFmtId="0" fontId="0" fillId="0" borderId="47" xfId="0" applyBorder="1"/>
    <xf numFmtId="44" fontId="85" fillId="0" borderId="30" xfId="1" applyFont="1" applyFill="1" applyBorder="1" applyAlignment="1">
      <alignment horizontal="center"/>
    </xf>
    <xf numFmtId="44" fontId="79" fillId="0" borderId="23" xfId="1" applyFont="1" applyFill="1" applyBorder="1" applyAlignment="1">
      <alignment horizontal="center"/>
    </xf>
    <xf numFmtId="44" fontId="90" fillId="0" borderId="23" xfId="1" applyFont="1" applyFill="1" applyBorder="1" applyAlignment="1">
      <alignment horizontal="center"/>
    </xf>
    <xf numFmtId="44" fontId="90" fillId="0" borderId="44" xfId="1" applyFont="1" applyFill="1" applyBorder="1" applyAlignment="1">
      <alignment horizontal="center"/>
    </xf>
    <xf numFmtId="44" fontId="2" fillId="13" borderId="41" xfId="1" applyFont="1" applyFill="1" applyBorder="1"/>
    <xf numFmtId="0" fontId="0" fillId="0" borderId="43" xfId="0" applyBorder="1" applyAlignment="1">
      <alignment horizontal="center"/>
    </xf>
    <xf numFmtId="0" fontId="85" fillId="0" borderId="28" xfId="0" applyFont="1" applyBorder="1" applyAlignment="1">
      <alignment horizontal="left"/>
    </xf>
    <xf numFmtId="44" fontId="89" fillId="0" borderId="23" xfId="1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44" fontId="85" fillId="0" borderId="44" xfId="1" applyFont="1" applyFill="1" applyBorder="1"/>
    <xf numFmtId="44" fontId="89" fillId="0" borderId="44" xfId="1" applyFont="1" applyFill="1" applyBorder="1" applyAlignment="1">
      <alignment horizontal="center"/>
    </xf>
    <xf numFmtId="44" fontId="17" fillId="13" borderId="41" xfId="1" applyFont="1" applyFill="1" applyBorder="1"/>
    <xf numFmtId="44" fontId="91" fillId="0" borderId="30" xfId="1" applyFont="1" applyFill="1" applyBorder="1"/>
    <xf numFmtId="44" fontId="92" fillId="0" borderId="30" xfId="1" applyFont="1" applyFill="1" applyBorder="1" applyAlignment="1">
      <alignment horizontal="center"/>
    </xf>
    <xf numFmtId="44" fontId="8" fillId="0" borderId="23" xfId="1" applyFont="1" applyFill="1" applyBorder="1"/>
    <xf numFmtId="44" fontId="8" fillId="0" borderId="23" xfId="1" applyFont="1" applyFill="1" applyBorder="1" applyAlignment="1">
      <alignment horizontal="center"/>
    </xf>
    <xf numFmtId="44" fontId="85" fillId="0" borderId="44" xfId="1" applyFont="1" applyFill="1" applyBorder="1" applyAlignment="1">
      <alignment horizontal="center"/>
    </xf>
    <xf numFmtId="0" fontId="85" fillId="0" borderId="48" xfId="0" applyFont="1" applyBorder="1" applyAlignment="1">
      <alignment horizontal="center"/>
    </xf>
    <xf numFmtId="0" fontId="0" fillId="0" borderId="49" xfId="0" applyBorder="1" applyAlignment="1">
      <alignment horizontal="center"/>
    </xf>
    <xf numFmtId="44" fontId="85" fillId="0" borderId="30" xfId="1" applyFont="1" applyFill="1" applyBorder="1"/>
    <xf numFmtId="0" fontId="85" fillId="0" borderId="5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44" fontId="85" fillId="0" borderId="23" xfId="1" applyFont="1" applyBorder="1"/>
    <xf numFmtId="44" fontId="85" fillId="0" borderId="23" xfId="1" applyFont="1" applyBorder="1" applyAlignment="1">
      <alignment horizontal="center"/>
    </xf>
    <xf numFmtId="0" fontId="85" fillId="0" borderId="51" xfId="0" applyFont="1" applyBorder="1" applyAlignment="1">
      <alignment horizontal="center"/>
    </xf>
    <xf numFmtId="0" fontId="0" fillId="0" borderId="52" xfId="0" applyBorder="1" applyAlignment="1">
      <alignment horizontal="center"/>
    </xf>
    <xf numFmtId="14" fontId="17" fillId="13" borderId="42" xfId="1" applyNumberFormat="1" applyFont="1" applyFill="1" applyBorder="1" applyAlignment="1">
      <alignment horizontal="center"/>
    </xf>
    <xf numFmtId="44" fontId="93" fillId="0" borderId="30" xfId="1" applyFont="1" applyFill="1" applyBorder="1" applyAlignment="1">
      <alignment horizontal="center"/>
    </xf>
    <xf numFmtId="0" fontId="0" fillId="14" borderId="28" xfId="0" applyFill="1" applyBorder="1" applyAlignment="1">
      <alignment horizontal="center"/>
    </xf>
    <xf numFmtId="44" fontId="94" fillId="0" borderId="23" xfId="1" applyFont="1" applyBorder="1"/>
    <xf numFmtId="44" fontId="95" fillId="0" borderId="23" xfId="1" applyFont="1" applyBorder="1" applyAlignment="1">
      <alignment horizontal="center"/>
    </xf>
    <xf numFmtId="44" fontId="96" fillId="0" borderId="23" xfId="1" applyFont="1" applyBorder="1" applyAlignment="1">
      <alignment horizontal="center"/>
    </xf>
    <xf numFmtId="44" fontId="87" fillId="0" borderId="44" xfId="1" applyFont="1" applyBorder="1"/>
    <xf numFmtId="44" fontId="85" fillId="0" borderId="44" xfId="1" applyFont="1" applyBorder="1" applyAlignment="1">
      <alignment horizontal="center"/>
    </xf>
    <xf numFmtId="44" fontId="90" fillId="13" borderId="41" xfId="1" applyFont="1" applyFill="1" applyBorder="1"/>
    <xf numFmtId="44" fontId="90" fillId="0" borderId="30" xfId="1" applyFont="1" applyFill="1" applyBorder="1"/>
    <xf numFmtId="44" fontId="90" fillId="0" borderId="30" xfId="1" applyFont="1" applyFill="1" applyBorder="1" applyAlignment="1">
      <alignment horizontal="left"/>
    </xf>
    <xf numFmtId="44" fontId="90" fillId="0" borderId="23" xfId="1" applyFont="1" applyFill="1" applyBorder="1"/>
    <xf numFmtId="44" fontId="17" fillId="0" borderId="23" xfId="1" applyFont="1" applyFill="1" applyBorder="1" applyAlignment="1">
      <alignment horizontal="left"/>
    </xf>
    <xf numFmtId="44" fontId="86" fillId="13" borderId="41" xfId="1" applyFont="1" applyFill="1" applyBorder="1"/>
    <xf numFmtId="0" fontId="88" fillId="0" borderId="30" xfId="0" applyFont="1" applyBorder="1" applyAlignment="1">
      <alignment horizontal="center"/>
    </xf>
    <xf numFmtId="44" fontId="97" fillId="0" borderId="30" xfId="1" applyFont="1" applyFill="1" applyBorder="1" applyAlignment="1">
      <alignment horizontal="center"/>
    </xf>
    <xf numFmtId="0" fontId="78" fillId="0" borderId="23" xfId="0" applyFont="1" applyBorder="1" applyAlignment="1">
      <alignment horizontal="center"/>
    </xf>
    <xf numFmtId="0" fontId="85" fillId="0" borderId="31" xfId="0" applyFont="1" applyBorder="1" applyAlignment="1">
      <alignment horizontal="center"/>
    </xf>
    <xf numFmtId="44" fontId="85" fillId="0" borderId="31" xfId="1" applyFont="1" applyFill="1" applyBorder="1" applyAlignment="1">
      <alignment horizontal="center"/>
    </xf>
    <xf numFmtId="0" fontId="85" fillId="13" borderId="38" xfId="0" applyFont="1" applyFill="1" applyBorder="1" applyAlignment="1">
      <alignment horizontal="center"/>
    </xf>
    <xf numFmtId="0" fontId="85" fillId="13" borderId="1" xfId="0" applyFont="1" applyFill="1" applyBorder="1" applyAlignment="1">
      <alignment horizontal="center"/>
    </xf>
    <xf numFmtId="0" fontId="85" fillId="13" borderId="7" xfId="0" applyFont="1" applyFill="1" applyBorder="1" applyAlignment="1">
      <alignment horizontal="center"/>
    </xf>
    <xf numFmtId="0" fontId="86" fillId="13" borderId="1" xfId="0" applyFont="1" applyFill="1" applyBorder="1"/>
    <xf numFmtId="44" fontId="85" fillId="13" borderId="7" xfId="1" applyFont="1" applyFill="1" applyBorder="1"/>
    <xf numFmtId="44" fontId="85" fillId="13" borderId="53" xfId="1" applyFont="1" applyFill="1" applyBorder="1" applyAlignment="1">
      <alignment horizontal="center"/>
    </xf>
    <xf numFmtId="0" fontId="85" fillId="0" borderId="18" xfId="0" applyFont="1" applyBorder="1" applyAlignment="1">
      <alignment horizontal="center"/>
    </xf>
    <xf numFmtId="44" fontId="9" fillId="0" borderId="18" xfId="1" applyFont="1" applyFill="1" applyBorder="1"/>
    <xf numFmtId="44" fontId="17" fillId="0" borderId="29" xfId="1" applyFont="1" applyFill="1" applyBorder="1" applyAlignment="1">
      <alignment horizontal="center"/>
    </xf>
    <xf numFmtId="44" fontId="85" fillId="0" borderId="29" xfId="1" applyFont="1" applyFill="1" applyBorder="1" applyAlignment="1">
      <alignment horizontal="center"/>
    </xf>
    <xf numFmtId="44" fontId="85" fillId="0" borderId="54" xfId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85" fillId="0" borderId="13" xfId="0" applyFont="1" applyBorder="1" applyAlignment="1">
      <alignment horizontal="center"/>
    </xf>
    <xf numFmtId="0" fontId="85" fillId="0" borderId="13" xfId="0" applyFont="1" applyBorder="1"/>
    <xf numFmtId="44" fontId="87" fillId="0" borderId="13" xfId="1" applyFont="1" applyFill="1" applyBorder="1"/>
    <xf numFmtId="44" fontId="89" fillId="0" borderId="53" xfId="1" applyFont="1" applyFill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5" fillId="0" borderId="1" xfId="0" applyFont="1" applyBorder="1"/>
    <xf numFmtId="44" fontId="85" fillId="0" borderId="1" xfId="1" applyFont="1" applyFill="1" applyBorder="1"/>
    <xf numFmtId="44" fontId="85" fillId="0" borderId="55" xfId="1" applyFont="1" applyFill="1" applyBorder="1" applyAlignment="1">
      <alignment horizontal="center"/>
    </xf>
    <xf numFmtId="0" fontId="85" fillId="0" borderId="14" xfId="0" applyFont="1" applyBorder="1" applyAlignment="1">
      <alignment horizontal="center"/>
    </xf>
    <xf numFmtId="0" fontId="85" fillId="0" borderId="14" xfId="0" applyFont="1" applyBorder="1"/>
    <xf numFmtId="44" fontId="85" fillId="0" borderId="14" xfId="1" applyFont="1" applyFill="1" applyBorder="1"/>
    <xf numFmtId="44" fontId="85" fillId="0" borderId="56" xfId="1" applyFont="1" applyFill="1" applyBorder="1" applyAlignment="1">
      <alignment horizontal="center"/>
    </xf>
    <xf numFmtId="44" fontId="17" fillId="13" borderId="42" xfId="1" applyFont="1" applyFill="1" applyBorder="1" applyAlignment="1">
      <alignment horizontal="center"/>
    </xf>
    <xf numFmtId="44" fontId="8" fillId="0" borderId="30" xfId="1" applyFont="1" applyFill="1" applyBorder="1" applyAlignment="1">
      <alignment horizontal="center"/>
    </xf>
    <xf numFmtId="44" fontId="94" fillId="0" borderId="23" xfId="1" applyFont="1" applyFill="1" applyBorder="1" applyAlignment="1">
      <alignment horizontal="center"/>
    </xf>
    <xf numFmtId="44" fontId="17" fillId="0" borderId="23" xfId="1" applyFont="1" applyFill="1" applyBorder="1" applyAlignment="1">
      <alignment horizontal="center"/>
    </xf>
    <xf numFmtId="44" fontId="98" fillId="0" borderId="23" xfId="1" applyFont="1" applyFill="1" applyBorder="1" applyAlignment="1">
      <alignment horizontal="center"/>
    </xf>
    <xf numFmtId="0" fontId="0" fillId="0" borderId="45" xfId="0" applyBorder="1"/>
    <xf numFmtId="0" fontId="85" fillId="0" borderId="40" xfId="0" applyFont="1" applyBorder="1"/>
    <xf numFmtId="0" fontId="0" fillId="0" borderId="41" xfId="0" applyBorder="1"/>
    <xf numFmtId="0" fontId="85" fillId="0" borderId="41" xfId="0" applyFont="1" applyBorder="1"/>
    <xf numFmtId="0" fontId="99" fillId="15" borderId="41" xfId="0" applyFont="1" applyFill="1" applyBorder="1" applyAlignment="1">
      <alignment horizontal="center" vertical="center"/>
    </xf>
    <xf numFmtId="44" fontId="100" fillId="0" borderId="41" xfId="1" applyFont="1" applyBorder="1" applyAlignment="1">
      <alignment horizontal="center" vertical="center"/>
    </xf>
    <xf numFmtId="44" fontId="100" fillId="0" borderId="42" xfId="1" applyFont="1" applyBorder="1" applyAlignment="1">
      <alignment horizontal="center" vertical="center"/>
    </xf>
    <xf numFmtId="0" fontId="85" fillId="0" borderId="38" xfId="0" applyFont="1" applyBorder="1"/>
    <xf numFmtId="0" fontId="85" fillId="0" borderId="7" xfId="0" applyFont="1" applyBorder="1"/>
    <xf numFmtId="0" fontId="100" fillId="0" borderId="7" xfId="0" applyFont="1" applyBorder="1" applyAlignment="1">
      <alignment horizontal="center" vertical="center"/>
    </xf>
    <xf numFmtId="44" fontId="100" fillId="0" borderId="7" xfId="1" applyFont="1" applyBorder="1" applyAlignment="1">
      <alignment horizontal="center" vertical="center"/>
    </xf>
    <xf numFmtId="44" fontId="100" fillId="0" borderId="39" xfId="1" applyFont="1" applyBorder="1" applyAlignment="1">
      <alignment horizontal="center" vertical="center"/>
    </xf>
    <xf numFmtId="0" fontId="85" fillId="16" borderId="40" xfId="0" applyFont="1" applyFill="1" applyBorder="1"/>
    <xf numFmtId="0" fontId="0" fillId="16" borderId="41" xfId="0" applyFill="1" applyBorder="1"/>
    <xf numFmtId="0" fontId="85" fillId="16" borderId="41" xfId="0" applyFont="1" applyFill="1" applyBorder="1"/>
    <xf numFmtId="0" fontId="78" fillId="16" borderId="41" xfId="0" applyFont="1" applyFill="1" applyBorder="1"/>
    <xf numFmtId="44" fontId="78" fillId="16" borderId="41" xfId="1" applyFont="1" applyFill="1" applyBorder="1"/>
    <xf numFmtId="44" fontId="78" fillId="16" borderId="42" xfId="1" applyFont="1" applyFill="1" applyBorder="1" applyAlignment="1">
      <alignment horizontal="center"/>
    </xf>
    <xf numFmtId="0" fontId="0" fillId="0" borderId="30" xfId="0" applyBorder="1"/>
    <xf numFmtId="0" fontId="0" fillId="14" borderId="30" xfId="0" applyFill="1" applyBorder="1" applyAlignment="1">
      <alignment horizontal="center"/>
    </xf>
    <xf numFmtId="0" fontId="85" fillId="0" borderId="57" xfId="0" applyFont="1" applyBorder="1" applyAlignment="1">
      <alignment horizontal="center"/>
    </xf>
    <xf numFmtId="0" fontId="85" fillId="0" borderId="49" xfId="0" applyFont="1" applyBorder="1"/>
    <xf numFmtId="44" fontId="85" fillId="0" borderId="30" xfId="1" applyFont="1" applyBorder="1"/>
    <xf numFmtId="44" fontId="2" fillId="0" borderId="30" xfId="1" applyFont="1" applyBorder="1" applyAlignment="1">
      <alignment horizontal="center"/>
    </xf>
    <xf numFmtId="0" fontId="85" fillId="0" borderId="58" xfId="0" applyFont="1" applyBorder="1" applyAlignment="1">
      <alignment horizontal="center"/>
    </xf>
    <xf numFmtId="0" fontId="85" fillId="0" borderId="52" xfId="0" applyFont="1" applyBorder="1"/>
    <xf numFmtId="0" fontId="85" fillId="13" borderId="41" xfId="0" applyFont="1" applyFill="1" applyBorder="1"/>
    <xf numFmtId="0" fontId="101" fillId="0" borderId="30" xfId="0" applyFont="1" applyBorder="1" applyAlignment="1">
      <alignment horizontal="center"/>
    </xf>
    <xf numFmtId="0" fontId="40" fillId="0" borderId="43" xfId="0" applyFont="1" applyBorder="1" applyAlignment="1">
      <alignment horizontal="center"/>
    </xf>
    <xf numFmtId="0" fontId="101" fillId="0" borderId="43" xfId="0" applyFont="1" applyBorder="1"/>
    <xf numFmtId="44" fontId="51" fillId="0" borderId="30" xfId="1" applyFont="1" applyFill="1" applyBorder="1"/>
    <xf numFmtId="44" fontId="51" fillId="0" borderId="30" xfId="1" applyFont="1" applyFill="1" applyBorder="1" applyAlignment="1">
      <alignment horizontal="center"/>
    </xf>
    <xf numFmtId="14" fontId="89" fillId="0" borderId="23" xfId="1" applyNumberFormat="1" applyFont="1" applyFill="1" applyBorder="1" applyAlignment="1">
      <alignment horizontal="center"/>
    </xf>
    <xf numFmtId="0" fontId="8" fillId="0" borderId="45" xfId="0" applyFont="1" applyBorder="1"/>
    <xf numFmtId="44" fontId="94" fillId="0" borderId="30" xfId="1" applyFont="1" applyBorder="1"/>
    <xf numFmtId="44" fontId="85" fillId="0" borderId="30" xfId="1" applyFont="1" applyBorder="1" applyAlignment="1">
      <alignment horizontal="center"/>
    </xf>
    <xf numFmtId="0" fontId="85" fillId="0" borderId="38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85" fillId="0" borderId="25" xfId="0" applyFont="1" applyBorder="1" applyAlignment="1">
      <alignment horizontal="center"/>
    </xf>
    <xf numFmtId="0" fontId="85" fillId="0" borderId="0" xfId="0" applyFont="1"/>
    <xf numFmtId="44" fontId="87" fillId="0" borderId="25" xfId="1" applyFont="1" applyFill="1" applyBorder="1"/>
    <xf numFmtId="44" fontId="85" fillId="0" borderId="25" xfId="1" applyFont="1" applyFill="1" applyBorder="1" applyAlignment="1">
      <alignment horizontal="center"/>
    </xf>
    <xf numFmtId="44" fontId="85" fillId="0" borderId="25" xfId="1" applyFont="1" applyFill="1" applyBorder="1"/>
    <xf numFmtId="44" fontId="2" fillId="0" borderId="30" xfId="1" applyFont="1" applyFill="1" applyBorder="1" applyAlignment="1">
      <alignment horizontal="right"/>
    </xf>
    <xf numFmtId="44" fontId="2" fillId="0" borderId="44" xfId="1" applyFont="1" applyFill="1" applyBorder="1" applyAlignment="1">
      <alignment horizontal="center"/>
    </xf>
    <xf numFmtId="0" fontId="102" fillId="13" borderId="41" xfId="0" applyFont="1" applyFill="1" applyBorder="1"/>
    <xf numFmtId="44" fontId="17" fillId="0" borderId="30" xfId="1" applyFont="1" applyFill="1" applyBorder="1"/>
    <xf numFmtId="44" fontId="17" fillId="0" borderId="23" xfId="1" applyFont="1" applyFill="1" applyBorder="1"/>
    <xf numFmtId="44" fontId="17" fillId="0" borderId="44" xfId="1" applyFont="1" applyFill="1" applyBorder="1"/>
    <xf numFmtId="0" fontId="17" fillId="13" borderId="41" xfId="0" applyFont="1" applyFill="1" applyBorder="1"/>
    <xf numFmtId="0" fontId="103" fillId="0" borderId="43" xfId="0" applyFont="1" applyBorder="1"/>
    <xf numFmtId="44" fontId="103" fillId="0" borderId="30" xfId="1" applyFont="1" applyFill="1" applyBorder="1"/>
    <xf numFmtId="44" fontId="85" fillId="0" borderId="30" xfId="1" applyFont="1" applyFill="1" applyBorder="1" applyAlignment="1">
      <alignment horizontal="left"/>
    </xf>
    <xf numFmtId="44" fontId="85" fillId="0" borderId="23" xfId="1" applyFont="1" applyFill="1" applyBorder="1" applyAlignment="1">
      <alignment horizontal="left"/>
    </xf>
    <xf numFmtId="44" fontId="85" fillId="0" borderId="44" xfId="1" applyFont="1" applyFill="1" applyBorder="1" applyAlignment="1">
      <alignment horizontal="left"/>
    </xf>
    <xf numFmtId="0" fontId="0" fillId="0" borderId="60" xfId="0" applyBorder="1" applyAlignment="1">
      <alignment horizontal="center"/>
    </xf>
    <xf numFmtId="0" fontId="85" fillId="0" borderId="60" xfId="0" applyFont="1" applyBorder="1"/>
    <xf numFmtId="44" fontId="2" fillId="0" borderId="18" xfId="1" applyFont="1" applyBorder="1"/>
    <xf numFmtId="44" fontId="2" fillId="0" borderId="23" xfId="1" applyFont="1" applyBorder="1"/>
    <xf numFmtId="0" fontId="0" fillId="14" borderId="45" xfId="0" applyFill="1" applyBorder="1" applyAlignment="1">
      <alignment horizontal="center"/>
    </xf>
    <xf numFmtId="44" fontId="2" fillId="0" borderId="44" xfId="1" applyFont="1" applyBorder="1"/>
    <xf numFmtId="0" fontId="0" fillId="0" borderId="61" xfId="0" applyBorder="1" applyAlignment="1">
      <alignment horizontal="center"/>
    </xf>
    <xf numFmtId="0" fontId="85" fillId="0" borderId="61" xfId="0" applyFont="1" applyBorder="1"/>
    <xf numFmtId="44" fontId="85" fillId="0" borderId="31" xfId="1" applyFont="1" applyBorder="1"/>
    <xf numFmtId="44" fontId="85" fillId="0" borderId="31" xfId="1" applyFont="1" applyBorder="1" applyAlignment="1">
      <alignment horizontal="center"/>
    </xf>
    <xf numFmtId="44" fontId="85" fillId="0" borderId="13" xfId="1" applyFont="1" applyBorder="1"/>
    <xf numFmtId="44" fontId="85" fillId="0" borderId="53" xfId="1" applyFont="1" applyBorder="1" applyAlignment="1">
      <alignment horizontal="center"/>
    </xf>
    <xf numFmtId="0" fontId="85" fillId="0" borderId="50" xfId="0" applyFont="1" applyBorder="1"/>
    <xf numFmtId="0" fontId="85" fillId="0" borderId="10" xfId="0" applyFont="1" applyBorder="1"/>
    <xf numFmtId="0" fontId="84" fillId="15" borderId="15" xfId="0" applyFont="1" applyFill="1" applyBorder="1" applyAlignment="1">
      <alignment horizontal="center" vertical="center"/>
    </xf>
    <xf numFmtId="44" fontId="100" fillId="0" borderId="11" xfId="1" applyFont="1" applyBorder="1" applyAlignment="1">
      <alignment horizontal="center" vertical="center"/>
    </xf>
    <xf numFmtId="44" fontId="100" fillId="0" borderId="55" xfId="1" applyFont="1" applyBorder="1" applyAlignment="1">
      <alignment horizontal="center" vertical="center"/>
    </xf>
    <xf numFmtId="0" fontId="85" fillId="0" borderId="51" xfId="0" applyFont="1" applyBorder="1"/>
    <xf numFmtId="0" fontId="0" fillId="0" borderId="14" xfId="0" applyBorder="1"/>
    <xf numFmtId="44" fontId="85" fillId="0" borderId="14" xfId="1" applyFont="1" applyBorder="1"/>
    <xf numFmtId="44" fontId="85" fillId="0" borderId="56" xfId="1" applyFont="1" applyBorder="1" applyAlignment="1">
      <alignment horizontal="center"/>
    </xf>
    <xf numFmtId="0" fontId="85" fillId="0" borderId="18" xfId="0" applyFont="1" applyBorder="1"/>
    <xf numFmtId="0" fontId="0" fillId="0" borderId="43" xfId="0" applyBorder="1"/>
    <xf numFmtId="0" fontId="85" fillId="0" borderId="57" xfId="0" applyFont="1" applyBorder="1"/>
    <xf numFmtId="44" fontId="85" fillId="0" borderId="49" xfId="1" applyFont="1" applyFill="1" applyBorder="1"/>
    <xf numFmtId="44" fontId="85" fillId="0" borderId="18" xfId="1" applyFont="1" applyFill="1" applyBorder="1" applyAlignment="1">
      <alignment horizontal="center"/>
    </xf>
    <xf numFmtId="0" fontId="85" fillId="0" borderId="11" xfId="0" applyFont="1" applyBorder="1"/>
    <xf numFmtId="44" fontId="85" fillId="0" borderId="10" xfId="1" applyFont="1" applyFill="1" applyBorder="1"/>
    <xf numFmtId="44" fontId="17" fillId="0" borderId="10" xfId="1" applyFont="1" applyFill="1" applyBorder="1"/>
    <xf numFmtId="44" fontId="17" fillId="0" borderId="23" xfId="1" applyFont="1" applyFill="1" applyBorder="1" applyAlignment="1">
      <alignment horizontal="right"/>
    </xf>
    <xf numFmtId="0" fontId="85" fillId="0" borderId="58" xfId="0" applyFont="1" applyBorder="1"/>
    <xf numFmtId="44" fontId="85" fillId="0" borderId="52" xfId="1" applyFont="1" applyFill="1" applyBorder="1"/>
    <xf numFmtId="44" fontId="85" fillId="0" borderId="18" xfId="1" applyFont="1" applyFill="1" applyBorder="1"/>
    <xf numFmtId="0" fontId="0" fillId="0" borderId="18" xfId="0" applyBorder="1" applyAlignment="1">
      <alignment horizontal="center"/>
    </xf>
    <xf numFmtId="0" fontId="85" fillId="0" borderId="18" xfId="0" applyFont="1" applyBorder="1" applyAlignment="1">
      <alignment horizontal="center" vertical="center"/>
    </xf>
    <xf numFmtId="0" fontId="85" fillId="0" borderId="43" xfId="0" applyFont="1" applyBorder="1" applyAlignment="1">
      <alignment horizontal="left" vertical="center"/>
    </xf>
    <xf numFmtId="44" fontId="85" fillId="0" borderId="18" xfId="1" applyFont="1" applyBorder="1" applyAlignment="1">
      <alignment horizontal="left" vertical="center"/>
    </xf>
    <xf numFmtId="44" fontId="85" fillId="0" borderId="18" xfId="1" applyFont="1" applyBorder="1" applyAlignment="1">
      <alignment horizontal="center" vertical="center"/>
    </xf>
    <xf numFmtId="0" fontId="85" fillId="0" borderId="44" xfId="0" applyFont="1" applyBorder="1" applyAlignment="1">
      <alignment horizontal="center" vertical="center"/>
    </xf>
    <xf numFmtId="0" fontId="85" fillId="0" borderId="45" xfId="0" applyFont="1" applyBorder="1" applyAlignment="1">
      <alignment horizontal="left" vertical="center"/>
    </xf>
    <xf numFmtId="44" fontId="85" fillId="0" borderId="44" xfId="1" applyFont="1" applyBorder="1" applyAlignment="1">
      <alignment horizontal="left" vertical="center"/>
    </xf>
    <xf numFmtId="44" fontId="85" fillId="0" borderId="44" xfId="1" applyFont="1" applyBorder="1" applyAlignment="1">
      <alignment horizontal="center" vertical="center"/>
    </xf>
    <xf numFmtId="0" fontId="85" fillId="0" borderId="62" xfId="0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85" fillId="0" borderId="63" xfId="0" applyFont="1" applyBorder="1" applyAlignment="1">
      <alignment horizontal="center"/>
    </xf>
    <xf numFmtId="0" fontId="85" fillId="0" borderId="64" xfId="0" applyFont="1" applyBorder="1" applyAlignment="1">
      <alignment horizontal="left"/>
    </xf>
    <xf numFmtId="44" fontId="85" fillId="0" borderId="65" xfId="1" applyFont="1" applyFill="1" applyBorder="1" applyAlignment="1">
      <alignment horizontal="left"/>
    </xf>
    <xf numFmtId="44" fontId="85" fillId="0" borderId="65" xfId="1" applyFont="1" applyFill="1" applyBorder="1" applyAlignment="1">
      <alignment horizontal="center"/>
    </xf>
    <xf numFmtId="0" fontId="85" fillId="0" borderId="27" xfId="0" applyFont="1" applyBorder="1" applyAlignment="1">
      <alignment horizontal="center"/>
    </xf>
    <xf numFmtId="0" fontId="85" fillId="0" borderId="55" xfId="0" applyFont="1" applyBorder="1" applyAlignment="1">
      <alignment horizontal="left"/>
    </xf>
    <xf numFmtId="44" fontId="85" fillId="0" borderId="29" xfId="1" applyFont="1" applyFill="1" applyBorder="1" applyAlignment="1">
      <alignment horizontal="left"/>
    </xf>
    <xf numFmtId="0" fontId="85" fillId="0" borderId="66" xfId="0" applyFont="1" applyBorder="1" applyAlignment="1">
      <alignment horizontal="center"/>
    </xf>
    <xf numFmtId="0" fontId="0" fillId="0" borderId="66" xfId="0" applyBorder="1" applyAlignment="1">
      <alignment horizontal="center"/>
    </xf>
    <xf numFmtId="0" fontId="85" fillId="0" borderId="67" xfId="0" applyFont="1" applyBorder="1" applyAlignment="1">
      <alignment horizontal="center"/>
    </xf>
    <xf numFmtId="0" fontId="85" fillId="0" borderId="68" xfId="0" applyFont="1" applyBorder="1" applyAlignment="1">
      <alignment horizontal="left"/>
    </xf>
    <xf numFmtId="44" fontId="85" fillId="0" borderId="36" xfId="1" applyFont="1" applyFill="1" applyBorder="1" applyAlignment="1">
      <alignment horizontal="left"/>
    </xf>
    <xf numFmtId="44" fontId="85" fillId="0" borderId="36" xfId="1" applyFont="1" applyFill="1" applyBorder="1" applyAlignment="1">
      <alignment horizontal="center"/>
    </xf>
    <xf numFmtId="0" fontId="0" fillId="14" borderId="62" xfId="0" applyFill="1" applyBorder="1" applyAlignment="1">
      <alignment horizontal="center"/>
    </xf>
    <xf numFmtId="0" fontId="85" fillId="0" borderId="65" xfId="0" applyFont="1" applyBorder="1"/>
    <xf numFmtId="44" fontId="87" fillId="0" borderId="65" xfId="1" applyFont="1" applyBorder="1"/>
    <xf numFmtId="0" fontId="0" fillId="14" borderId="66" xfId="0" applyFill="1" applyBorder="1" applyAlignment="1">
      <alignment horizontal="center"/>
    </xf>
    <xf numFmtId="0" fontId="85" fillId="0" borderId="36" xfId="0" applyFont="1" applyBorder="1"/>
    <xf numFmtId="44" fontId="87" fillId="0" borderId="36" xfId="1" applyFont="1" applyBorder="1"/>
    <xf numFmtId="0" fontId="0" fillId="0" borderId="62" xfId="0" applyBorder="1"/>
    <xf numFmtId="0" fontId="85" fillId="0" borderId="64" xfId="0" applyFont="1" applyBorder="1"/>
    <xf numFmtId="0" fontId="85" fillId="0" borderId="65" xfId="0" applyFont="1" applyBorder="1" applyAlignment="1">
      <alignment horizontal="center"/>
    </xf>
    <xf numFmtId="0" fontId="0" fillId="0" borderId="66" xfId="0" applyBorder="1"/>
    <xf numFmtId="0" fontId="85" fillId="0" borderId="68" xfId="0" applyFont="1" applyBorder="1"/>
    <xf numFmtId="0" fontId="85" fillId="0" borderId="36" xfId="0" applyFont="1" applyBorder="1" applyAlignment="1">
      <alignment horizontal="center"/>
    </xf>
    <xf numFmtId="0" fontId="30" fillId="17" borderId="15" xfId="0" applyFont="1" applyFill="1" applyBorder="1" applyAlignment="1">
      <alignment horizontal="center" vertical="center" wrapText="1"/>
    </xf>
    <xf numFmtId="0" fontId="82" fillId="18" borderId="15" xfId="0" applyFont="1" applyFill="1" applyBorder="1" applyAlignment="1">
      <alignment horizontal="center" vertical="center"/>
    </xf>
    <xf numFmtId="0" fontId="83" fillId="17" borderId="15" xfId="0" applyFont="1" applyFill="1" applyBorder="1" applyAlignment="1">
      <alignment horizontal="center" vertical="center"/>
    </xf>
    <xf numFmtId="0" fontId="83" fillId="17" borderId="37" xfId="0" applyFont="1" applyFill="1" applyBorder="1" applyAlignment="1">
      <alignment horizontal="center" vertical="center"/>
    </xf>
    <xf numFmtId="0" fontId="7" fillId="17" borderId="15" xfId="0" applyFont="1" applyFill="1" applyBorder="1" applyAlignment="1">
      <alignment horizontal="center" vertical="center" wrapText="1"/>
    </xf>
    <xf numFmtId="0" fontId="84" fillId="17" borderId="15" xfId="0" applyFont="1" applyFill="1" applyBorder="1" applyAlignment="1">
      <alignment horizontal="center" vertical="center" wrapText="1"/>
    </xf>
    <xf numFmtId="44" fontId="85" fillId="17" borderId="42" xfId="1" applyFont="1" applyFill="1" applyBorder="1" applyAlignment="1">
      <alignment horizontal="center"/>
    </xf>
    <xf numFmtId="0" fontId="85" fillId="17" borderId="40" xfId="0" applyFont="1" applyFill="1" applyBorder="1" applyAlignment="1">
      <alignment horizontal="center"/>
    </xf>
    <xf numFmtId="0" fontId="85" fillId="17" borderId="41" xfId="0" applyFont="1" applyFill="1" applyBorder="1" applyAlignment="1">
      <alignment horizontal="center"/>
    </xf>
    <xf numFmtId="0" fontId="86" fillId="17" borderId="41" xfId="0" applyFont="1" applyFill="1" applyBorder="1"/>
    <xf numFmtId="44" fontId="85" fillId="17" borderId="41" xfId="1" applyFont="1" applyFill="1" applyBorder="1"/>
    <xf numFmtId="0" fontId="10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65" fillId="4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3" fillId="0" borderId="1" xfId="2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44" fontId="100" fillId="0" borderId="0" xfId="1" applyFont="1" applyBorder="1" applyAlignment="1">
      <alignment horizontal="center" vertical="center"/>
    </xf>
    <xf numFmtId="0" fontId="99" fillId="15" borderId="6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/>
    </xf>
    <xf numFmtId="0" fontId="76" fillId="0" borderId="20" xfId="0" applyFont="1" applyBorder="1" applyAlignment="1">
      <alignment horizontal="center"/>
    </xf>
    <xf numFmtId="0" fontId="76" fillId="0" borderId="22" xfId="0" applyFont="1" applyBorder="1" applyAlignment="1">
      <alignment horizontal="center"/>
    </xf>
    <xf numFmtId="0" fontId="76" fillId="0" borderId="21" xfId="0" applyFont="1" applyBorder="1" applyAlignment="1">
      <alignment horizontal="center"/>
    </xf>
    <xf numFmtId="0" fontId="76" fillId="0" borderId="24" xfId="0" applyFont="1" applyBorder="1" applyAlignment="1">
      <alignment horizontal="center"/>
    </xf>
    <xf numFmtId="0" fontId="76" fillId="0" borderId="0" xfId="0" applyFont="1" applyAlignment="1">
      <alignment horizontal="center"/>
    </xf>
    <xf numFmtId="0" fontId="76" fillId="0" borderId="26" xfId="0" applyFont="1" applyBorder="1" applyAlignment="1">
      <alignment horizontal="center"/>
    </xf>
    <xf numFmtId="0" fontId="77" fillId="0" borderId="24" xfId="0" applyFont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7" fillId="0" borderId="2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619</xdr:row>
      <xdr:rowOff>0</xdr:rowOff>
    </xdr:from>
    <xdr:to>
      <xdr:col>9</xdr:col>
      <xdr:colOff>1276350</xdr:colOff>
      <xdr:row>626</xdr:row>
      <xdr:rowOff>104775</xdr:rowOff>
    </xdr:to>
    <xdr:sp macro="" textlink="">
      <xdr:nvSpPr>
        <xdr:cNvPr id="2" name="m_314900995979703095_x0000_i1040" descr="1455547445462_Screen">
          <a:extLst>
            <a:ext uri="{FF2B5EF4-FFF2-40B4-BE49-F238E27FC236}">
              <a16:creationId xmlns:a16="http://schemas.microsoft.com/office/drawing/2014/main" id="{78D7C749-2C9B-426D-B477-20CAB7F13E48}"/>
            </a:ext>
          </a:extLst>
        </xdr:cNvPr>
        <xdr:cNvSpPr>
          <a:spLocks noChangeAspect="1" noChangeArrowheads="1"/>
        </xdr:cNvSpPr>
      </xdr:nvSpPr>
      <xdr:spPr bwMode="auto">
        <a:xfrm>
          <a:off x="4733925" y="174888525"/>
          <a:ext cx="1276350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620</xdr:row>
      <xdr:rowOff>0</xdr:rowOff>
    </xdr:from>
    <xdr:to>
      <xdr:col>9</xdr:col>
      <xdr:colOff>1276350</xdr:colOff>
      <xdr:row>627</xdr:row>
      <xdr:rowOff>66675</xdr:rowOff>
    </xdr:to>
    <xdr:sp macro="" textlink="">
      <xdr:nvSpPr>
        <xdr:cNvPr id="3" name="m_314900995979703095_x0000_i1040" descr="1455547445462_Screen">
          <a:extLst>
            <a:ext uri="{FF2B5EF4-FFF2-40B4-BE49-F238E27FC236}">
              <a16:creationId xmlns:a16="http://schemas.microsoft.com/office/drawing/2014/main" id="{90607850-6DEE-499A-993E-FF6852CDBAC1}"/>
            </a:ext>
          </a:extLst>
        </xdr:cNvPr>
        <xdr:cNvSpPr>
          <a:spLocks noChangeAspect="1" noChangeArrowheads="1"/>
        </xdr:cNvSpPr>
      </xdr:nvSpPr>
      <xdr:spPr bwMode="auto">
        <a:xfrm>
          <a:off x="5791200" y="22755225"/>
          <a:ext cx="1276350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wn D'Vincenzo" id="{755AD262-1A3C-408C-B42B-5423ADAB0127}" userId="S::dawn@kadouriconnection.com::f69b7b5d-7ca1-4b12-857a-ab285056c35e" providerId="AD"/>
  <person displayName="Dawn D'Vincenzo" id="{245607CA-7351-438C-A3DB-6B775D5A44EE}" userId="S::dawn@thekadouriconnection.com::80dbad38-af1a-45b9-a291-5acb86a0a96f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358</v>
    <v>8</v>
    <v>70</v>
    <v>1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error">
    <k n="colOffset" t="i"/>
    <k n="errorType" t="i"/>
    <k n="rwOffset" t="i"/>
    <k n="subType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5-03-27T15:18:15.24" personId="{245607CA-7351-438C-A3DB-6B775D5A44EE}" id="{2C100996-3A53-4DC7-A1DC-1718A99E92CB}">
    <text xml:space="preserve">Wire or ACH or mail ck no scans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2" dT="2025-03-27T15:18:15.24" personId="{245607CA-7351-438C-A3DB-6B775D5A44EE}" id="{C5BA8A30-40EC-4C50-917B-3C366AC80C60}">
    <text xml:space="preserve">Wire or ACH or mail ck no scans 
</text>
  </threadedComment>
  <threadedComment ref="F100" dT="2025-04-15T16:01:07.29" personId="{245607CA-7351-438C-A3DB-6B775D5A44EE}" id="{F082AD07-FC24-4808-9934-156FD0E69E8C}">
    <text>Wire or mail ck</text>
  </threadedComment>
  <threadedComment ref="D245" dT="2025-04-15T16:01:07.29" personId="{245607CA-7351-438C-A3DB-6B775D5A44EE}" id="{E45A1D5B-E5B2-43CC-818E-5F2728CC8AEB}">
    <text>Wire or mail ck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337" dT="2023-08-24T16:19:05.81" personId="{755AD262-1A3C-408C-B42B-5423ADAB0127}" id="{F1605399-9894-46BF-8DC0-CD3CB13BD59B}">
    <text xml:space="preserve">Rice crk &amp; fried green pea out of stock avail week of 8/25 </text>
  </threadedComment>
  <threadedComment ref="I536" dT="2023-12-06T21:46:22.01" personId="{245607CA-7351-438C-A3DB-6B775D5A44EE}" id="{A40812D8-DF95-46F4-B5C4-E27916296AAC}">
    <text xml:space="preserve">Cashew &amp; almond crunch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ordersUSA@atlasoliveoils.com" TargetMode="External"/><Relationship Id="rId2" Type="http://schemas.openxmlformats.org/officeDocument/2006/relationships/hyperlink" Target="mailto:diana.thompson@anchoringredients.com" TargetMode="External"/><Relationship Id="rId1" Type="http://schemas.openxmlformats.org/officeDocument/2006/relationships/hyperlink" Target="mailto:732-339-0071orders@akccommodities.com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sankajllc@gmail.com" TargetMode="External"/><Relationship Id="rId21" Type="http://schemas.openxmlformats.org/officeDocument/2006/relationships/hyperlink" Target="tel:+13476637763" TargetMode="External"/><Relationship Id="rId42" Type="http://schemas.openxmlformats.org/officeDocument/2006/relationships/hyperlink" Target="mailto:umberto@dolceamoreny.com" TargetMode="External"/><Relationship Id="rId63" Type="http://schemas.openxmlformats.org/officeDocument/2006/relationships/hyperlink" Target="mailto:mreyes@ziyad.com" TargetMode="External"/><Relationship Id="rId84" Type="http://schemas.openxmlformats.org/officeDocument/2006/relationships/hyperlink" Target="mailto:evac@kontos.com" TargetMode="External"/><Relationship Id="rId138" Type="http://schemas.openxmlformats.org/officeDocument/2006/relationships/hyperlink" Target="mailto:info@aivaproducts.com" TargetMode="External"/><Relationship Id="rId159" Type="http://schemas.openxmlformats.org/officeDocument/2006/relationships/hyperlink" Target="mailto:alisher@foodtolive.com" TargetMode="External"/><Relationship Id="rId170" Type="http://schemas.openxmlformats.org/officeDocument/2006/relationships/hyperlink" Target="https://maps.google.com/maps?q=608%20Georges%20Rd%20N%20Brunswick%20NJ%2008902&amp;hl=en&amp;authuser=0" TargetMode="External"/><Relationship Id="rId191" Type="http://schemas.openxmlformats.org/officeDocument/2006/relationships/hyperlink" Target="mailto:mauzonekosher@gmail.com" TargetMode="External"/><Relationship Id="rId205" Type="http://schemas.openxmlformats.org/officeDocument/2006/relationships/hyperlink" Target="mailto:dora@batafood.com" TargetMode="External"/><Relationship Id="rId107" Type="http://schemas.openxmlformats.org/officeDocument/2006/relationships/hyperlink" Target="mailto:william@growfoods.net" TargetMode="External"/><Relationship Id="rId11" Type="http://schemas.openxmlformats.org/officeDocument/2006/relationships/hyperlink" Target="mailto:management@sevenmilemarket.com" TargetMode="External"/><Relationship Id="rId32" Type="http://schemas.openxmlformats.org/officeDocument/2006/relationships/hyperlink" Target="mailto:gina@auntbutchies.com" TargetMode="External"/><Relationship Id="rId53" Type="http://schemas.openxmlformats.org/officeDocument/2006/relationships/hyperlink" Target="mailto:Casey@thegranolafactory.com" TargetMode="External"/><Relationship Id="rId74" Type="http://schemas.openxmlformats.org/officeDocument/2006/relationships/hyperlink" Target="mailto:info@gittofoods.com" TargetMode="External"/><Relationship Id="rId128" Type="http://schemas.openxmlformats.org/officeDocument/2006/relationships/hyperlink" Target="mailto:jgcourt@chocolaeusa.com" TargetMode="External"/><Relationship Id="rId149" Type="http://schemas.openxmlformats.org/officeDocument/2006/relationships/hyperlink" Target="mailto:ksl11361@gmail.com" TargetMode="External"/><Relationship Id="rId5" Type="http://schemas.openxmlformats.org/officeDocument/2006/relationships/hyperlink" Target="tel:+19292844325" TargetMode="External"/><Relationship Id="rId95" Type="http://schemas.openxmlformats.org/officeDocument/2006/relationships/hyperlink" Target="http://www.phidelia.ca/" TargetMode="External"/><Relationship Id="rId160" Type="http://schemas.openxmlformats.org/officeDocument/2006/relationships/hyperlink" Target="mailto:billusingh1976@gmail.com" TargetMode="External"/><Relationship Id="rId181" Type="http://schemas.openxmlformats.org/officeDocument/2006/relationships/hyperlink" Target="mailto:hendayan41@gmail.com" TargetMode="External"/><Relationship Id="rId22" Type="http://schemas.openxmlformats.org/officeDocument/2006/relationships/hyperlink" Target="https://www.bing.com/ck/a?!&amp;&amp;p=51ce053b441f1314JmltdHM9MTY3NjUwNTYwMCZpZ3VpZD0yMWZiOGMyMi1iNGVjLTY1YjAtMDBiYi05ZTQyYjU2MzY0NTMmaW5zaWQ9NTU1Ng&amp;ptn=3&amp;hsh=3&amp;fclid=21fb8c22-b4ec-65b0-00bb-9e42b5636453&amp;psq=valente+bakery+supply&amp;u=a1aHR0cHM6Ly93d3cudmFsZW50ZWJha2VyeXN1cHBsaWVzLmNvbS8&amp;ntb=1" TargetMode="External"/><Relationship Id="rId43" Type="http://schemas.openxmlformats.org/officeDocument/2006/relationships/hyperlink" Target="mailto:robert@myboysbaking" TargetMode="External"/><Relationship Id="rId64" Type="http://schemas.openxmlformats.org/officeDocument/2006/relationships/hyperlink" Target="mailto:Eli@bloomskosher.com" TargetMode="External"/><Relationship Id="rId118" Type="http://schemas.openxmlformats.org/officeDocument/2006/relationships/hyperlink" Target="mailto:sue@AllenMfgUSA.com" TargetMode="External"/><Relationship Id="rId139" Type="http://schemas.openxmlformats.org/officeDocument/2006/relationships/hyperlink" Target="mailto:ed.stlaurent@jrdice.com" TargetMode="External"/><Relationship Id="rId85" Type="http://schemas.openxmlformats.org/officeDocument/2006/relationships/hyperlink" Target="mailto:michael@jomartchocolates.com" TargetMode="External"/><Relationship Id="rId150" Type="http://schemas.openxmlformats.org/officeDocument/2006/relationships/hyperlink" Target="mailto:wcrawford@canadanut.ca" TargetMode="External"/><Relationship Id="rId171" Type="http://schemas.openxmlformats.org/officeDocument/2006/relationships/hyperlink" Target="https://maps.google.com/maps?q=104-05%20Metropolitan%20Ave%2C%20Forest%20Hills%2C%20NY%2011375&amp;hl=en&amp;authuser=0" TargetMode="External"/><Relationship Id="rId192" Type="http://schemas.openxmlformats.org/officeDocument/2006/relationships/hyperlink" Target="mailto:jmmitter@aol.com" TargetMode="External"/><Relationship Id="rId206" Type="http://schemas.openxmlformats.org/officeDocument/2006/relationships/hyperlink" Target="http://www.batafood.com/" TargetMode="External"/><Relationship Id="rId12" Type="http://schemas.openxmlformats.org/officeDocument/2006/relationships/hyperlink" Target="mailto:info@ramcaterers.com" TargetMode="External"/><Relationship Id="rId33" Type="http://schemas.openxmlformats.org/officeDocument/2006/relationships/hyperlink" Target="tel:+19739538320%20%20(%20cell%20)" TargetMode="External"/><Relationship Id="rId108" Type="http://schemas.openxmlformats.org/officeDocument/2006/relationships/hyperlink" Target="mailto:purchasinsosupreme@yahoo.com" TargetMode="External"/><Relationship Id="rId129" Type="http://schemas.openxmlformats.org/officeDocument/2006/relationships/hyperlink" Target="mailto:seed@caudillseed.com" TargetMode="External"/><Relationship Id="rId54" Type="http://schemas.openxmlformats.org/officeDocument/2006/relationships/hyperlink" Target="mailto:Demos@titanfoods.net" TargetMode="External"/><Relationship Id="rId75" Type="http://schemas.openxmlformats.org/officeDocument/2006/relationships/hyperlink" Target="mailto:Amendez@justbagels.com" TargetMode="External"/><Relationship Id="rId96" Type="http://schemas.openxmlformats.org/officeDocument/2006/relationships/hyperlink" Target="mailto:daryoush@phidelia.ca" TargetMode="External"/><Relationship Id="rId140" Type="http://schemas.openxmlformats.org/officeDocument/2006/relationships/hyperlink" Target="mailto:kcheop@ziyad.com" TargetMode="External"/><Relationship Id="rId161" Type="http://schemas.openxmlformats.org/officeDocument/2006/relationships/hyperlink" Target="mailto:fardcandy@gmail.com" TargetMode="External"/><Relationship Id="rId182" Type="http://schemas.openxmlformats.org/officeDocument/2006/relationships/hyperlink" Target="mailto:info@vicotrysweetshop.com" TargetMode="External"/><Relationship Id="rId6" Type="http://schemas.openxmlformats.org/officeDocument/2006/relationships/hyperlink" Target="tel:+16313610011%20%20%20%20Eric" TargetMode="External"/><Relationship Id="rId23" Type="http://schemas.openxmlformats.org/officeDocument/2006/relationships/hyperlink" Target="https://www.bing.com/ck/a?!&amp;&amp;p=cf9a578619bec6fcJmltdHM9MTY3NjUwNTYwMCZpZ3VpZD0yMWZiOGMyMi1iNGVjLTY1YjAtMDBiYi05ZTQyYjU2MzY0NTMmaW5zaWQ9NTQ1MA&amp;ptn=3&amp;hsh=3&amp;fclid=21fb8c22-b4ec-65b0-00bb-9e42b5636453&amp;psq=maximum+quality+foods+linden+nj&amp;u=a1aHR0cDovL3d3dy5tYXhpbXVtcXVhbGl0eWZvb2RzLmNvbS8&amp;ntb=1" TargetMode="External"/><Relationship Id="rId119" Type="http://schemas.openxmlformats.org/officeDocument/2006/relationships/hyperlink" Target="mailto:n.stevnson@parisgourmet.com" TargetMode="External"/><Relationship Id="rId44" Type="http://schemas.openxmlformats.org/officeDocument/2006/relationships/hyperlink" Target="mailto:suleimanchater@yahoo.com" TargetMode="External"/><Relationship Id="rId65" Type="http://schemas.openxmlformats.org/officeDocument/2006/relationships/hyperlink" Target="mailto:Inaval@eurogerm-kb.com" TargetMode="External"/><Relationship Id="rId86" Type="http://schemas.openxmlformats.org/officeDocument/2006/relationships/hyperlink" Target="mailto:jeff.klein@bakemark.com" TargetMode="External"/><Relationship Id="rId130" Type="http://schemas.openxmlformats.org/officeDocument/2006/relationships/hyperlink" Target="mailto:dy.suncropfoods@gmail.com" TargetMode="External"/><Relationship Id="rId151" Type="http://schemas.openxmlformats.org/officeDocument/2006/relationships/hyperlink" Target="mailto:swaroop7415@gmail.com" TargetMode="External"/><Relationship Id="rId172" Type="http://schemas.openxmlformats.org/officeDocument/2006/relationships/hyperlink" Target="https://maps.google.com/maps?q=104-05%20Metropolitan%20Ave%2C%20Forest%20Hills%2C%20NY%2011375&amp;hl=en&amp;authuser=0" TargetMode="External"/><Relationship Id="rId193" Type="http://schemas.openxmlformats.org/officeDocument/2006/relationships/hyperlink" Target="mailto:guptassurabh972@gmail.com" TargetMode="External"/><Relationship Id="rId207" Type="http://schemas.openxmlformats.org/officeDocument/2006/relationships/hyperlink" Target="mailto:ilnuts2014@gmail.com" TargetMode="External"/><Relationship Id="rId13" Type="http://schemas.openxmlformats.org/officeDocument/2006/relationships/hyperlink" Target="tel:+14137722239" TargetMode="External"/><Relationship Id="rId109" Type="http://schemas.openxmlformats.org/officeDocument/2006/relationships/hyperlink" Target="mailto:efraim@esgbrandsinc.com" TargetMode="External"/><Relationship Id="rId34" Type="http://schemas.openxmlformats.org/officeDocument/2006/relationships/hyperlink" Target="mailto:info@familyofnuts.com" TargetMode="External"/><Relationship Id="rId55" Type="http://schemas.openxmlformats.org/officeDocument/2006/relationships/hyperlink" Target="mailto:alex@citadelfoods.com" TargetMode="External"/><Relationship Id="rId76" Type="http://schemas.openxmlformats.org/officeDocument/2006/relationships/hyperlink" Target="mailto:kristyn@sarabeth.com" TargetMode="External"/><Relationship Id="rId97" Type="http://schemas.openxmlformats.org/officeDocument/2006/relationships/hyperlink" Target="mailto:Jberbere@zabar.com" TargetMode="External"/><Relationship Id="rId120" Type="http://schemas.openxmlformats.org/officeDocument/2006/relationships/hyperlink" Target="mailto:ibrahim.Yasintimur@vintagefood.com" TargetMode="External"/><Relationship Id="rId141" Type="http://schemas.openxmlformats.org/officeDocument/2006/relationships/hyperlink" Target="mailto:gurdipsaluja@eartyhling.net" TargetMode="External"/><Relationship Id="rId7" Type="http://schemas.openxmlformats.org/officeDocument/2006/relationships/hyperlink" Target="tel:+12013199112" TargetMode="External"/><Relationship Id="rId162" Type="http://schemas.openxmlformats.org/officeDocument/2006/relationships/hyperlink" Target="mailto:gourmetbake@hotmail.com" TargetMode="External"/><Relationship Id="rId183" Type="http://schemas.openxmlformats.org/officeDocument/2006/relationships/hyperlink" Target="mailto:khalibabury@yahoo.com" TargetMode="External"/><Relationship Id="rId24" Type="http://schemas.openxmlformats.org/officeDocument/2006/relationships/hyperlink" Target="https://www.bing.com/ck/a?!&amp;&amp;p=93ccae533c4a6403JmltdHM9MTY3NjUwNTYwMCZpZ3VpZD0yMWZiOGMyMi1iNGVjLTY1YjAtMDBiYi05ZTQyYjU2MzY0NTMmaW5zaWQ9NTQ1Mg&amp;ptn=3&amp;hsh=3&amp;fclid=21fb8c22-b4ec-65b0-00bb-9e42b5636453&amp;psq=maximum+quality+foods+linden+nj&amp;u=a1dGVsOjkwODQ3NDAwMDM&amp;ntb=1" TargetMode="External"/><Relationship Id="rId45" Type="http://schemas.openxmlformats.org/officeDocument/2006/relationships/hyperlink" Target="mailto:Morris@gourmetnut.com" TargetMode="External"/><Relationship Id="rId66" Type="http://schemas.openxmlformats.org/officeDocument/2006/relationships/hyperlink" Target="mailto:mmcaleney@eurogerm-kb.com" TargetMode="External"/><Relationship Id="rId87" Type="http://schemas.openxmlformats.org/officeDocument/2006/relationships/hyperlink" Target="mailto:ruth.ateliercocoa@gmail.com" TargetMode="External"/><Relationship Id="rId110" Type="http://schemas.openxmlformats.org/officeDocument/2006/relationships/hyperlink" Target="mailto:joel@primefoodproductsinc.com" TargetMode="External"/><Relationship Id="rId131" Type="http://schemas.openxmlformats.org/officeDocument/2006/relationships/hyperlink" Target="mailto:dhiren.vadodaria@gmail.com" TargetMode="External"/><Relationship Id="rId152" Type="http://schemas.openxmlformats.org/officeDocument/2006/relationships/hyperlink" Target="mailto:davidr@flaums.com" TargetMode="External"/><Relationship Id="rId173" Type="http://schemas.openxmlformats.org/officeDocument/2006/relationships/hyperlink" Target="https://maps.google.com/maps?q=700%20Myrtle%20Ave.%20NY%20Brooklyn%2011205&amp;hl=en&amp;authuser=0" TargetMode="External"/><Relationship Id="rId194" Type="http://schemas.openxmlformats.org/officeDocument/2006/relationships/hyperlink" Target="mailto:sgmd1985@gmail.com" TargetMode="External"/><Relationship Id="rId208" Type="http://schemas.openxmlformats.org/officeDocument/2006/relationships/hyperlink" Target="mailto:jay@destefanofoods.com" TargetMode="External"/><Relationship Id="rId19" Type="http://schemas.openxmlformats.org/officeDocument/2006/relationships/hyperlink" Target="mailto:alberto@dolceamoreny.com" TargetMode="External"/><Relationship Id="rId14" Type="http://schemas.openxmlformats.org/officeDocument/2006/relationships/hyperlink" Target="mailto:singhfarm101@gmail.com" TargetMode="External"/><Relationship Id="rId30" Type="http://schemas.openxmlformats.org/officeDocument/2006/relationships/hyperlink" Target="https://www.bing.com/ck/a?!&amp;&amp;p=c72ca354a0fb11abJmltdHM9MTY3Njg1MTIwMCZpZ3VpZD0yMWZiOGMyMi1iNGVjLTY1YjAtMDBiYi05ZTQyYjU2MzY0NTMmaW5zaWQ9NTUxMw&amp;ptn=3&amp;hsh=3&amp;fclid=21fb8c22-b4ec-65b0-00bb-9e42b5636453&amp;psq=3+guys+from+brooklyn&amp;u=a1dGVsOjcxODc0ODgzNDA&amp;ntb=1" TargetMode="External"/><Relationship Id="rId35" Type="http://schemas.openxmlformats.org/officeDocument/2006/relationships/hyperlink" Target="mailto:purchasing@bakersusa.com" TargetMode="External"/><Relationship Id="rId56" Type="http://schemas.openxmlformats.org/officeDocument/2006/relationships/hyperlink" Target="mailto:billusingh1976@gmail.com" TargetMode="External"/><Relationship Id="rId77" Type="http://schemas.openxmlformats.org/officeDocument/2006/relationships/hyperlink" Target="mailto:vboruhov@yahoo.com" TargetMode="External"/><Relationship Id="rId100" Type="http://schemas.openxmlformats.org/officeDocument/2006/relationships/hyperlink" Target="mailto:yosi@yosikithcen.com" TargetMode="External"/><Relationship Id="rId105" Type="http://schemas.openxmlformats.org/officeDocument/2006/relationships/hyperlink" Target="mailto:chris@destefanofoods.com" TargetMode="External"/><Relationship Id="rId126" Type="http://schemas.openxmlformats.org/officeDocument/2006/relationships/hyperlink" Target="tel:+17819358300%20x6%20Purchasing" TargetMode="External"/><Relationship Id="rId147" Type="http://schemas.openxmlformats.org/officeDocument/2006/relationships/hyperlink" Target="mailto:customerservice@madelainechocolate.com" TargetMode="External"/><Relationship Id="rId168" Type="http://schemas.openxmlformats.org/officeDocument/2006/relationships/hyperlink" Target="mailto:info@ibrafoods.com" TargetMode="External"/><Relationship Id="rId8" Type="http://schemas.openxmlformats.org/officeDocument/2006/relationships/hyperlink" Target="tel:+12154551600%20%20x%20127" TargetMode="External"/><Relationship Id="rId51" Type="http://schemas.openxmlformats.org/officeDocument/2006/relationships/hyperlink" Target="mailto:Joel@juliettefoods.com" TargetMode="External"/><Relationship Id="rId72" Type="http://schemas.openxmlformats.org/officeDocument/2006/relationships/hyperlink" Target="mailto:ulgices123@gmail.com" TargetMode="External"/><Relationship Id="rId93" Type="http://schemas.openxmlformats.org/officeDocument/2006/relationships/hyperlink" Target="mailto:info@nutman.com" TargetMode="External"/><Relationship Id="rId98" Type="http://schemas.openxmlformats.org/officeDocument/2006/relationships/hyperlink" Target="tel:+17182725400" TargetMode="External"/><Relationship Id="rId121" Type="http://schemas.openxmlformats.org/officeDocument/2006/relationships/hyperlink" Target="mailto:akreadys@gmail.com" TargetMode="External"/><Relationship Id="rId142" Type="http://schemas.openxmlformats.org/officeDocument/2006/relationships/hyperlink" Target="mailto:bpapaleo@papcofoods.com" TargetMode="External"/><Relationship Id="rId163" Type="http://schemas.openxmlformats.org/officeDocument/2006/relationships/hyperlink" Target="mailto:naser2019@gmail.com" TargetMode="External"/><Relationship Id="rId184" Type="http://schemas.openxmlformats.org/officeDocument/2006/relationships/hyperlink" Target="mailto:peter@lestisdesserts.com" TargetMode="External"/><Relationship Id="rId189" Type="http://schemas.openxmlformats.org/officeDocument/2006/relationships/hyperlink" Target="mailto:malky@falafelim.com" TargetMode="External"/><Relationship Id="rId3" Type="http://schemas.openxmlformats.org/officeDocument/2006/relationships/hyperlink" Target="tel:+17182562933" TargetMode="External"/><Relationship Id="rId25" Type="http://schemas.openxmlformats.org/officeDocument/2006/relationships/hyperlink" Target="tel:+16127816596" TargetMode="External"/><Relationship Id="rId46" Type="http://schemas.openxmlformats.org/officeDocument/2006/relationships/hyperlink" Target="mailto:tashkent713@gmail.com" TargetMode="External"/><Relationship Id="rId67" Type="http://schemas.openxmlformats.org/officeDocument/2006/relationships/hyperlink" Target="mailto:msullivan@seashorefood.com" TargetMode="External"/><Relationship Id="rId116" Type="http://schemas.openxmlformats.org/officeDocument/2006/relationships/hyperlink" Target="mailto:jasrajfoods@gmail.com" TargetMode="External"/><Relationship Id="rId137" Type="http://schemas.openxmlformats.org/officeDocument/2006/relationships/hyperlink" Target="mailto:info@sos-chefs.com" TargetMode="External"/><Relationship Id="rId158" Type="http://schemas.openxmlformats.org/officeDocument/2006/relationships/hyperlink" Target="mailto:info@karibafarms.com" TargetMode="External"/><Relationship Id="rId20" Type="http://schemas.openxmlformats.org/officeDocument/2006/relationships/hyperlink" Target="mailto:Lemlem@workineshspice.com" TargetMode="External"/><Relationship Id="rId41" Type="http://schemas.openxmlformats.org/officeDocument/2006/relationships/hyperlink" Target="mailto:plkalil27@gmail.com" TargetMode="External"/><Relationship Id="rId62" Type="http://schemas.openxmlformats.org/officeDocument/2006/relationships/hyperlink" Target="mailto:Afandinaus@yahoo.com" TargetMode="External"/><Relationship Id="rId83" Type="http://schemas.openxmlformats.org/officeDocument/2006/relationships/hyperlink" Target="mailto:info@bayridgebakery.com" TargetMode="External"/><Relationship Id="rId88" Type="http://schemas.openxmlformats.org/officeDocument/2006/relationships/hyperlink" Target="mailto:jay@jjnuts.com" TargetMode="External"/><Relationship Id="rId111" Type="http://schemas.openxmlformats.org/officeDocument/2006/relationships/hyperlink" Target="mailto:dhiren.vadodaria@gmail.com" TargetMode="External"/><Relationship Id="rId132" Type="http://schemas.openxmlformats.org/officeDocument/2006/relationships/hyperlink" Target="mailto:petinfo@fmbrown.com" TargetMode="External"/><Relationship Id="rId153" Type="http://schemas.openxmlformats.org/officeDocument/2006/relationships/hyperlink" Target="mailto:joesagsveen@gmail.com" TargetMode="External"/><Relationship Id="rId174" Type="http://schemas.openxmlformats.org/officeDocument/2006/relationships/hyperlink" Target="https://maps.google.com/maps?q=2030%20Ocean%20Pkwy%20NY%20Brooklyn%2011223&amp;hl=en&amp;authuser=0" TargetMode="External"/><Relationship Id="rId179" Type="http://schemas.openxmlformats.org/officeDocument/2006/relationships/hyperlink" Target="https://maps.google.com/maps?q=65%20Bloomingdale%20Rd%20Hicksville%20NY%2011801&amp;hl=en&amp;authuser=0" TargetMode="External"/><Relationship Id="rId195" Type="http://schemas.openxmlformats.org/officeDocument/2006/relationships/hyperlink" Target="mailto:aylant@ayhans.com" TargetMode="External"/><Relationship Id="rId209" Type="http://schemas.openxmlformats.org/officeDocument/2006/relationships/hyperlink" Target="mailto:n.stevnson@parisgourmet.com" TargetMode="External"/><Relationship Id="rId190" Type="http://schemas.openxmlformats.org/officeDocument/2006/relationships/hyperlink" Target="mailto:info@holonfoods.com" TargetMode="External"/><Relationship Id="rId204" Type="http://schemas.openxmlformats.org/officeDocument/2006/relationships/hyperlink" Target="http://www.mkcdubai.com/" TargetMode="External"/><Relationship Id="rId15" Type="http://schemas.openxmlformats.org/officeDocument/2006/relationships/hyperlink" Target="tel:+17322521044" TargetMode="External"/><Relationship Id="rId36" Type="http://schemas.openxmlformats.org/officeDocument/2006/relationships/hyperlink" Target="mailto:ndonofrio@citylinefoods.com" TargetMode="External"/><Relationship Id="rId57" Type="http://schemas.openxmlformats.org/officeDocument/2006/relationships/hyperlink" Target="mailto:armenbenlian@verizon.net" TargetMode="External"/><Relationship Id="rId106" Type="http://schemas.openxmlformats.org/officeDocument/2006/relationships/hyperlink" Target="mailto:jay@destefanofoods.com" TargetMode="External"/><Relationship Id="rId127" Type="http://schemas.openxmlformats.org/officeDocument/2006/relationships/hyperlink" Target="mailto:japjiwholesale@gmail.com" TargetMode="External"/><Relationship Id="rId10" Type="http://schemas.openxmlformats.org/officeDocument/2006/relationships/hyperlink" Target="tel:+2157259013" TargetMode="External"/><Relationship Id="rId31" Type="http://schemas.openxmlformats.org/officeDocument/2006/relationships/hyperlink" Target="mailto:akhilnt@gochetak.com" TargetMode="External"/><Relationship Id="rId52" Type="http://schemas.openxmlformats.org/officeDocument/2006/relationships/hyperlink" Target="mailto:joel.ammar@gmail.com" TargetMode="External"/><Relationship Id="rId73" Type="http://schemas.openxmlformats.org/officeDocument/2006/relationships/hyperlink" Target="mailto:david@imanut.com" TargetMode="External"/><Relationship Id="rId78" Type="http://schemas.openxmlformats.org/officeDocument/2006/relationships/hyperlink" Target="mailto:rebeccaonofrios@ultimatefoods.net" TargetMode="External"/><Relationship Id="rId94" Type="http://schemas.openxmlformats.org/officeDocument/2006/relationships/hyperlink" Target="mailto:alazicki@fillorfactory.com" TargetMode="External"/><Relationship Id="rId99" Type="http://schemas.openxmlformats.org/officeDocument/2006/relationships/hyperlink" Target="mailto:peter@lestisdesserts.com" TargetMode="External"/><Relationship Id="rId101" Type="http://schemas.openxmlformats.org/officeDocument/2006/relationships/hyperlink" Target="mailto:dvinetaste@aol.com" TargetMode="External"/><Relationship Id="rId122" Type="http://schemas.openxmlformats.org/officeDocument/2006/relationships/hyperlink" Target="mailto:william@growfoods.net" TargetMode="External"/><Relationship Id="rId143" Type="http://schemas.openxmlformats.org/officeDocument/2006/relationships/hyperlink" Target="mailto:CInoa@AuroraProduct.com" TargetMode="External"/><Relationship Id="rId148" Type="http://schemas.openxmlformats.org/officeDocument/2006/relationships/hyperlink" Target="mailto:rzumot@familyofnuts.com" TargetMode="External"/><Relationship Id="rId164" Type="http://schemas.openxmlformats.org/officeDocument/2006/relationships/hyperlink" Target="mailto:raywholesale@hotmail.com" TargetMode="External"/><Relationship Id="rId169" Type="http://schemas.openxmlformats.org/officeDocument/2006/relationships/hyperlink" Target="mailto:veggieworld9@gmail.com" TargetMode="External"/><Relationship Id="rId185" Type="http://schemas.openxmlformats.org/officeDocument/2006/relationships/hyperlink" Target="mailto:zarehandrias27@gmail.com" TargetMode="External"/><Relationship Id="rId4" Type="http://schemas.openxmlformats.org/officeDocument/2006/relationships/hyperlink" Target="mailto:james@2ndtononedistribution.com" TargetMode="External"/><Relationship Id="rId9" Type="http://schemas.openxmlformats.org/officeDocument/2006/relationships/hyperlink" Target="tel:+718203181888" TargetMode="External"/><Relationship Id="rId180" Type="http://schemas.openxmlformats.org/officeDocument/2006/relationships/hyperlink" Target="tel:5167245241%20Kevin" TargetMode="External"/><Relationship Id="rId210" Type="http://schemas.openxmlformats.org/officeDocument/2006/relationships/drawing" Target="../drawings/drawing1.xml"/><Relationship Id="rId26" Type="http://schemas.openxmlformats.org/officeDocument/2006/relationships/hyperlink" Target="tel:+12015697606" TargetMode="External"/><Relationship Id="rId47" Type="http://schemas.openxmlformats.org/officeDocument/2006/relationships/hyperlink" Target="mailto:fermin.l@ckennethimports.com" TargetMode="External"/><Relationship Id="rId68" Type="http://schemas.openxmlformats.org/officeDocument/2006/relationships/hyperlink" Target="mailto:natalia@khayyan.com" TargetMode="External"/><Relationship Id="rId89" Type="http://schemas.openxmlformats.org/officeDocument/2006/relationships/hyperlink" Target="mailto:sales@sarabeth.com" TargetMode="External"/><Relationship Id="rId112" Type="http://schemas.openxmlformats.org/officeDocument/2006/relationships/hyperlink" Target="mailto:dmoventuresinc@gmail.com" TargetMode="External"/><Relationship Id="rId133" Type="http://schemas.openxmlformats.org/officeDocument/2006/relationships/hyperlink" Target="mailto:dess78@aol.com" TargetMode="External"/><Relationship Id="rId154" Type="http://schemas.openxmlformats.org/officeDocument/2006/relationships/hyperlink" Target="mailto:sam@premiumfoodgroup.com" TargetMode="External"/><Relationship Id="rId175" Type="http://schemas.openxmlformats.org/officeDocument/2006/relationships/hyperlink" Target="tel:+17183360300" TargetMode="External"/><Relationship Id="rId196" Type="http://schemas.openxmlformats.org/officeDocument/2006/relationships/hyperlink" Target="mailto:alihajikohansal@gmail.com" TargetMode="External"/><Relationship Id="rId200" Type="http://schemas.openxmlformats.org/officeDocument/2006/relationships/hyperlink" Target="mailto:Farshad@nutsimex.ca" TargetMode="External"/><Relationship Id="rId16" Type="http://schemas.openxmlformats.org/officeDocument/2006/relationships/hyperlink" Target="tel:+12012467990" TargetMode="External"/><Relationship Id="rId37" Type="http://schemas.openxmlformats.org/officeDocument/2006/relationships/hyperlink" Target="mailto:abrahamshummos@gmail.com" TargetMode="External"/><Relationship Id="rId58" Type="http://schemas.openxmlformats.org/officeDocument/2006/relationships/hyperlink" Target="mailto:NyBakery@gmail.com" TargetMode="External"/><Relationship Id="rId79" Type="http://schemas.openxmlformats.org/officeDocument/2006/relationships/hyperlink" Target="mailto:dpaolella@ultimatefoods.net" TargetMode="External"/><Relationship Id="rId102" Type="http://schemas.openxmlformats.org/officeDocument/2006/relationships/hyperlink" Target="mailto:info@holonfoods.com" TargetMode="External"/><Relationship Id="rId123" Type="http://schemas.openxmlformats.org/officeDocument/2006/relationships/hyperlink" Target="mailto:david@quailpackusa.com" TargetMode="External"/><Relationship Id="rId144" Type="http://schemas.openxmlformats.org/officeDocument/2006/relationships/hyperlink" Target="mailto:phil@manunoharvest.com" TargetMode="External"/><Relationship Id="rId90" Type="http://schemas.openxmlformats.org/officeDocument/2006/relationships/hyperlink" Target="mailto:jasmine@forloveoflemoncookies.com" TargetMode="External"/><Relationship Id="rId165" Type="http://schemas.openxmlformats.org/officeDocument/2006/relationships/hyperlink" Target="tel:+718203181888" TargetMode="External"/><Relationship Id="rId186" Type="http://schemas.openxmlformats.org/officeDocument/2006/relationships/hyperlink" Target="mailto:yosi@yosikithcen.com" TargetMode="External"/><Relationship Id="rId211" Type="http://schemas.openxmlformats.org/officeDocument/2006/relationships/vmlDrawing" Target="../drawings/vmlDrawing3.vml"/><Relationship Id="rId27" Type="http://schemas.openxmlformats.org/officeDocument/2006/relationships/hyperlink" Target="https://www.bing.com/ck/a?!&amp;&amp;p=763ce8a80df33c66JmltdHM9MTY3NjU5MjAwMCZpZ3VpZD0yMWZiOGMyMi1iNGVjLTY1YjAtMDBiYi05ZTQyYjU2MzY0NTMmaW5zaWQ9NTQ0MQ&amp;ptn=3&amp;hsh=3&amp;fclid=21fb8c22-b4ec-65b0-00bb-9e42b5636453&amp;psq=west+side+supermarket+of+huntington&amp;u=a1aHR0cHM6Ly9zb3V0aGRvd25tYXJrZXRwbGFjZS5jb20v&amp;ntb=1" TargetMode="External"/><Relationship Id="rId48" Type="http://schemas.openxmlformats.org/officeDocument/2006/relationships/hyperlink" Target="mailto:peter@lestisdesserts.com" TargetMode="External"/><Relationship Id="rId69" Type="http://schemas.openxmlformats.org/officeDocument/2006/relationships/hyperlink" Target="mailto:parasramdeo@gmail.com" TargetMode="External"/><Relationship Id="rId113" Type="http://schemas.openxmlformats.org/officeDocument/2006/relationships/hyperlink" Target="mailto:amjay123@gmail.com" TargetMode="External"/><Relationship Id="rId134" Type="http://schemas.openxmlformats.org/officeDocument/2006/relationships/hyperlink" Target="tel:+17183696699" TargetMode="External"/><Relationship Id="rId80" Type="http://schemas.openxmlformats.org/officeDocument/2006/relationships/hyperlink" Target="mailto:igor@regalsnacks.com" TargetMode="External"/><Relationship Id="rId155" Type="http://schemas.openxmlformats.org/officeDocument/2006/relationships/hyperlink" Target="mailto:ngallina@rcnimports.com" TargetMode="External"/><Relationship Id="rId176" Type="http://schemas.openxmlformats.org/officeDocument/2006/relationships/hyperlink" Target="tel:+17182725400" TargetMode="External"/><Relationship Id="rId197" Type="http://schemas.openxmlformats.org/officeDocument/2006/relationships/hyperlink" Target="mailto:info@nutsimex.ca" TargetMode="External"/><Relationship Id="rId201" Type="http://schemas.openxmlformats.org/officeDocument/2006/relationships/hyperlink" Target="mailto:psvtradeinc@gmail.com" TargetMode="External"/><Relationship Id="rId17" Type="http://schemas.openxmlformats.org/officeDocument/2006/relationships/hyperlink" Target="tel:973203408590" TargetMode="External"/><Relationship Id="rId38" Type="http://schemas.openxmlformats.org/officeDocument/2006/relationships/hyperlink" Target="mailto:joe.a@angelbakeries.com" TargetMode="External"/><Relationship Id="rId59" Type="http://schemas.openxmlformats.org/officeDocument/2006/relationships/hyperlink" Target="mailto:beirutmideastfood@gmail.com" TargetMode="External"/><Relationship Id="rId103" Type="http://schemas.openxmlformats.org/officeDocument/2006/relationships/hyperlink" Target="tel:+971" TargetMode="External"/><Relationship Id="rId124" Type="http://schemas.openxmlformats.org/officeDocument/2006/relationships/hyperlink" Target="mailto:jay@nirwanallc.com" TargetMode="External"/><Relationship Id="rId70" Type="http://schemas.openxmlformats.org/officeDocument/2006/relationships/hyperlink" Target="mailto:Ravi@shoperies.com" TargetMode="External"/><Relationship Id="rId91" Type="http://schemas.openxmlformats.org/officeDocument/2006/relationships/hyperlink" Target="mailto:info@lezzafoods.com" TargetMode="External"/><Relationship Id="rId145" Type="http://schemas.openxmlformats.org/officeDocument/2006/relationships/hyperlink" Target="http://www.mavunoharvest.com/" TargetMode="External"/><Relationship Id="rId166" Type="http://schemas.openxmlformats.org/officeDocument/2006/relationships/hyperlink" Target="mailto:Jberbere@zabar.com" TargetMode="External"/><Relationship Id="rId187" Type="http://schemas.openxmlformats.org/officeDocument/2006/relationships/hyperlink" Target="mailto:dvinetaste@aol.com" TargetMode="External"/><Relationship Id="rId1" Type="http://schemas.openxmlformats.org/officeDocument/2006/relationships/hyperlink" Target="mailto:newrbllc@gmail.com" TargetMode="External"/><Relationship Id="rId212" Type="http://schemas.openxmlformats.org/officeDocument/2006/relationships/comments" Target="../comments3.xml"/><Relationship Id="rId28" Type="http://schemas.openxmlformats.org/officeDocument/2006/relationships/hyperlink" Target="https://www.bing.com/ck/a?!&amp;&amp;p=36dced20a197abc2JmltdHM9MTY3NjU5MjAwMCZpZ3VpZD0yMWZiOGMyMi1iNGVjLTY1YjAtMDBiYi05ZTQyYjU2MzY0NTMmaW5zaWQ9NTQ0Mw&amp;ptn=3&amp;hsh=3&amp;fclid=21fb8c22-b4ec-65b0-00bb-9e42b5636453&amp;psq=west+side+supermarket+of+huntington&amp;u=a1dGVsOjYzMTM1MTk2NjA&amp;ntb=1" TargetMode="External"/><Relationship Id="rId49" Type="http://schemas.openxmlformats.org/officeDocument/2006/relationships/hyperlink" Target="mailto:Peter.Vasiliou@icbakers.com" TargetMode="External"/><Relationship Id="rId114" Type="http://schemas.openxmlformats.org/officeDocument/2006/relationships/hyperlink" Target="mailto:schung@ckennethimports.com" TargetMode="External"/><Relationship Id="rId60" Type="http://schemas.openxmlformats.org/officeDocument/2006/relationships/hyperlink" Target="http://www.sukhadiasweetschicago.com/" TargetMode="External"/><Relationship Id="rId81" Type="http://schemas.openxmlformats.org/officeDocument/2006/relationships/hyperlink" Target="mailto:jgonzalez@bindiusa.com" TargetMode="External"/><Relationship Id="rId135" Type="http://schemas.openxmlformats.org/officeDocument/2006/relationships/hyperlink" Target="mailto:naser2019@gmail.com" TargetMode="External"/><Relationship Id="rId156" Type="http://schemas.openxmlformats.org/officeDocument/2006/relationships/hyperlink" Target="mailto:dalisdistributionas@yahoo.com" TargetMode="External"/><Relationship Id="rId177" Type="http://schemas.openxmlformats.org/officeDocument/2006/relationships/hyperlink" Target="https://maps.google.com/maps?q=813%20Franklin%20Lakes%20Rd%20Franklin%20Lakes%20NJ%2007417&amp;hl=en&amp;authuser=0" TargetMode="External"/><Relationship Id="rId198" Type="http://schemas.openxmlformats.org/officeDocument/2006/relationships/hyperlink" Target="mailto:info@aslifinefoods.com" TargetMode="External"/><Relationship Id="rId202" Type="http://schemas.openxmlformats.org/officeDocument/2006/relationships/hyperlink" Target="mailto:naturalfoodland@icloud.com" TargetMode="External"/><Relationship Id="rId18" Type="http://schemas.openxmlformats.org/officeDocument/2006/relationships/hyperlink" Target="https://cannellepatisserie.com/" TargetMode="External"/><Relationship Id="rId39" Type="http://schemas.openxmlformats.org/officeDocument/2006/relationships/hyperlink" Target="mailto:info@amnut.com" TargetMode="External"/><Relationship Id="rId50" Type="http://schemas.openxmlformats.org/officeDocument/2006/relationships/hyperlink" Target="mailto:Verman@bedessee.com" TargetMode="External"/><Relationship Id="rId104" Type="http://schemas.openxmlformats.org/officeDocument/2006/relationships/hyperlink" Target="mailto:rohit.n@greenjeeva.com" TargetMode="External"/><Relationship Id="rId125" Type="http://schemas.openxmlformats.org/officeDocument/2006/relationships/hyperlink" Target="mailto:efarber@madelainechocolate.com" TargetMode="External"/><Relationship Id="rId146" Type="http://schemas.openxmlformats.org/officeDocument/2006/relationships/hyperlink" Target="mailto:info@saitrading" TargetMode="External"/><Relationship Id="rId167" Type="http://schemas.openxmlformats.org/officeDocument/2006/relationships/hyperlink" Target="tel:+718203181888" TargetMode="External"/><Relationship Id="rId188" Type="http://schemas.openxmlformats.org/officeDocument/2006/relationships/hyperlink" Target="mailto:levi@falafapita.com" TargetMode="External"/><Relationship Id="rId71" Type="http://schemas.openxmlformats.org/officeDocument/2006/relationships/hyperlink" Target="mailto:ka217@live.com" TargetMode="External"/><Relationship Id="rId92" Type="http://schemas.openxmlformats.org/officeDocument/2006/relationships/hyperlink" Target="mailto:han@lezzafoods.com" TargetMode="External"/><Relationship Id="rId213" Type="http://schemas.microsoft.com/office/2017/10/relationships/threadedComment" Target="../threadedComments/threadedComment3.xml"/><Relationship Id="rId2" Type="http://schemas.openxmlformats.org/officeDocument/2006/relationships/hyperlink" Target="mailto:kabobsir@yahoo.com" TargetMode="External"/><Relationship Id="rId29" Type="http://schemas.openxmlformats.org/officeDocument/2006/relationships/hyperlink" Target="https://www.bing.com/ck/a?!&amp;&amp;p=ce40bc243291afc7JmltdHM9MTY3Njg1MTIwMCZpZ3VpZD0yMWZiOGMyMi1iNGVjLTY1YjAtMDBiYi05ZTQyYjU2MzY0NTMmaW5zaWQ9NTQ5OQ&amp;ptn=3&amp;hsh=3&amp;fclid=21fb8c22-b4ec-65b0-00bb-9e42b5636453&amp;psq=3+guys+from+brooklyn&amp;u=a1aHR0cHM6Ly93d3cuM2d1eXNmcm9tYnJvb2tseW4uY29tLw&amp;ntb=1" TargetMode="External"/><Relationship Id="rId40" Type="http://schemas.openxmlformats.org/officeDocument/2006/relationships/hyperlink" Target="mailto:aneri@neribake.com" TargetMode="External"/><Relationship Id="rId115" Type="http://schemas.openxmlformats.org/officeDocument/2006/relationships/hyperlink" Target="mailto:petinfo@fmbrown.com" TargetMode="External"/><Relationship Id="rId136" Type="http://schemas.openxmlformats.org/officeDocument/2006/relationships/hyperlink" Target="mailto:candjquality@gmail.com" TargetMode="External"/><Relationship Id="rId157" Type="http://schemas.openxmlformats.org/officeDocument/2006/relationships/hyperlink" Target="mailto:freshfarm1313@gmail.com" TargetMode="External"/><Relationship Id="rId178" Type="http://schemas.openxmlformats.org/officeDocument/2006/relationships/hyperlink" Target="tel:+19736362150" TargetMode="External"/><Relationship Id="rId61" Type="http://schemas.openxmlformats.org/officeDocument/2006/relationships/hyperlink" Target="mailto:info@lucibellospastry.com" TargetMode="External"/><Relationship Id="rId82" Type="http://schemas.openxmlformats.org/officeDocument/2006/relationships/hyperlink" Target="mailto:info@arisfoods.com" TargetMode="External"/><Relationship Id="rId199" Type="http://schemas.openxmlformats.org/officeDocument/2006/relationships/hyperlink" Target="mailto:gurukripafoods@gmail.com" TargetMode="External"/><Relationship Id="rId203" Type="http://schemas.openxmlformats.org/officeDocument/2006/relationships/hyperlink" Target="tel:+9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9A69-F0D0-48A4-A5BD-F3CF362694EA}">
  <dimension ref="A1:F266"/>
  <sheetViews>
    <sheetView tabSelected="1" topLeftCell="A247" workbookViewId="0">
      <selection activeCell="D251" sqref="D251"/>
    </sheetView>
  </sheetViews>
  <sheetFormatPr defaultRowHeight="15"/>
  <cols>
    <col min="2" max="2" width="8.85546875" customWidth="1"/>
    <col min="3" max="3" width="12.42578125" customWidth="1"/>
    <col min="4" max="4" width="55.28515625" customWidth="1"/>
    <col min="5" max="5" width="15" customWidth="1"/>
    <col min="6" max="6" width="15" style="30" customWidth="1"/>
  </cols>
  <sheetData>
    <row r="1" spans="1:6" ht="15" customHeight="1">
      <c r="A1" s="612" t="e" vm="1">
        <v>#VALUE!</v>
      </c>
      <c r="B1" s="613"/>
      <c r="C1" s="614"/>
      <c r="D1" s="621" t="s">
        <v>0</v>
      </c>
      <c r="E1" s="622"/>
      <c r="F1" s="623"/>
    </row>
    <row r="2" spans="1:6" ht="15" customHeight="1">
      <c r="A2" s="615"/>
      <c r="B2" s="616"/>
      <c r="C2" s="617"/>
      <c r="D2" s="624"/>
      <c r="E2" s="625"/>
      <c r="F2" s="626"/>
    </row>
    <row r="3" spans="1:6" ht="15" customHeight="1">
      <c r="A3" s="615"/>
      <c r="B3" s="616"/>
      <c r="C3" s="617"/>
      <c r="D3" s="624"/>
      <c r="E3" s="625"/>
      <c r="F3" s="626"/>
    </row>
    <row r="4" spans="1:6" ht="15" customHeight="1">
      <c r="A4" s="615"/>
      <c r="B4" s="616"/>
      <c r="C4" s="617"/>
      <c r="D4" s="624"/>
      <c r="E4" s="625"/>
      <c r="F4" s="626"/>
    </row>
    <row r="5" spans="1:6">
      <c r="A5" s="615"/>
      <c r="B5" s="616"/>
      <c r="C5" s="617"/>
      <c r="D5" s="627" t="s">
        <v>1</v>
      </c>
      <c r="E5" s="628"/>
      <c r="F5" s="629"/>
    </row>
    <row r="6" spans="1:6">
      <c r="A6" s="615"/>
      <c r="B6" s="616"/>
      <c r="C6" s="617"/>
      <c r="D6" s="627"/>
      <c r="E6" s="628"/>
      <c r="F6" s="629"/>
    </row>
    <row r="7" spans="1:6">
      <c r="A7" s="615"/>
      <c r="B7" s="616"/>
      <c r="C7" s="617"/>
      <c r="D7" s="630" t="s">
        <v>2</v>
      </c>
      <c r="E7" s="631"/>
      <c r="F7" s="632"/>
    </row>
    <row r="8" spans="1:6" ht="15.75" thickBot="1">
      <c r="A8" s="618"/>
      <c r="B8" s="619"/>
      <c r="C8" s="620"/>
      <c r="D8" s="633"/>
      <c r="E8" s="634"/>
      <c r="F8" s="635"/>
    </row>
    <row r="9" spans="1:6">
      <c r="A9" s="347"/>
      <c r="C9" s="347"/>
      <c r="D9" s="348" t="s">
        <v>3</v>
      </c>
      <c r="E9" s="349"/>
      <c r="F9" s="350"/>
    </row>
    <row r="10" spans="1:6" ht="21.75" thickBot="1">
      <c r="A10" s="347"/>
      <c r="C10" s="347"/>
      <c r="D10" s="596" t="s">
        <v>4</v>
      </c>
      <c r="E10" s="351" t="s">
        <v>3</v>
      </c>
      <c r="F10" s="351" t="s">
        <v>3</v>
      </c>
    </row>
    <row r="11" spans="1:6" ht="38.25" thickBot="1">
      <c r="A11" s="585" t="s">
        <v>5</v>
      </c>
      <c r="B11" s="586" t="s">
        <v>6</v>
      </c>
      <c r="C11" s="587" t="s">
        <v>7</v>
      </c>
      <c r="D11" s="588" t="s">
        <v>8</v>
      </c>
      <c r="E11" s="589" t="s">
        <v>9</v>
      </c>
      <c r="F11" s="590" t="s">
        <v>10</v>
      </c>
    </row>
    <row r="12" spans="1:6" ht="19.5" thickBot="1">
      <c r="A12" s="352"/>
      <c r="B12" s="86"/>
      <c r="C12" s="353"/>
      <c r="D12" s="353" t="s">
        <v>11</v>
      </c>
      <c r="E12" s="353"/>
      <c r="F12" s="354"/>
    </row>
    <row r="13" spans="1:6" ht="15.75" thickBot="1">
      <c r="A13" s="592"/>
      <c r="B13" s="593"/>
      <c r="C13" s="593"/>
      <c r="D13" s="594" t="s">
        <v>3</v>
      </c>
      <c r="E13" s="595"/>
      <c r="F13" s="591"/>
    </row>
    <row r="14" spans="1:6">
      <c r="A14" s="360" t="s">
        <v>12</v>
      </c>
      <c r="B14" s="311" t="s">
        <v>13</v>
      </c>
      <c r="C14" s="360" t="s">
        <v>14</v>
      </c>
      <c r="D14" s="361" t="s">
        <v>15</v>
      </c>
      <c r="E14" s="362" t="s">
        <v>3</v>
      </c>
      <c r="F14" s="362" t="s">
        <v>3</v>
      </c>
    </row>
    <row r="15" spans="1:6">
      <c r="A15" s="363" t="s">
        <v>12</v>
      </c>
      <c r="B15" s="336" t="s">
        <v>16</v>
      </c>
      <c r="C15" s="363" t="s">
        <v>14</v>
      </c>
      <c r="D15" s="364" t="s">
        <v>17</v>
      </c>
      <c r="E15" s="365" t="s">
        <v>3</v>
      </c>
      <c r="F15" s="365" t="s">
        <v>3</v>
      </c>
    </row>
    <row r="16" spans="1:6">
      <c r="A16" s="363" t="s">
        <v>12</v>
      </c>
      <c r="B16" s="336" t="s">
        <v>18</v>
      </c>
      <c r="C16" s="363" t="s">
        <v>14</v>
      </c>
      <c r="D16" s="364" t="s">
        <v>19</v>
      </c>
      <c r="E16" s="366" t="s">
        <v>3</v>
      </c>
      <c r="F16" s="367"/>
    </row>
    <row r="17" spans="1:6">
      <c r="A17" s="363">
        <v>40</v>
      </c>
      <c r="B17" s="336" t="s">
        <v>20</v>
      </c>
      <c r="C17" s="363" t="s">
        <v>21</v>
      </c>
      <c r="D17" s="364" t="s">
        <v>22</v>
      </c>
      <c r="E17" s="368" t="s">
        <v>3</v>
      </c>
      <c r="F17" s="368" t="s">
        <v>3</v>
      </c>
    </row>
    <row r="18" spans="1:6">
      <c r="A18" s="363">
        <v>40</v>
      </c>
      <c r="B18" s="336" t="s">
        <v>23</v>
      </c>
      <c r="C18" s="363" t="s">
        <v>21</v>
      </c>
      <c r="D18" s="364" t="s">
        <v>24</v>
      </c>
      <c r="E18" s="368" t="s">
        <v>3</v>
      </c>
      <c r="F18" s="368" t="s">
        <v>3</v>
      </c>
    </row>
    <row r="19" spans="1:6">
      <c r="A19" s="363">
        <v>40</v>
      </c>
      <c r="B19" s="336" t="s">
        <v>25</v>
      </c>
      <c r="C19" s="363" t="s">
        <v>21</v>
      </c>
      <c r="D19" s="364" t="s">
        <v>26</v>
      </c>
      <c r="E19" s="368" t="s">
        <v>3</v>
      </c>
      <c r="F19" s="369" t="s">
        <v>3</v>
      </c>
    </row>
    <row r="20" spans="1:6">
      <c r="A20" s="363"/>
      <c r="B20" s="336"/>
      <c r="C20" s="363" t="s">
        <v>21</v>
      </c>
      <c r="D20" s="364" t="s">
        <v>27</v>
      </c>
      <c r="E20" s="368"/>
      <c r="F20" s="369"/>
    </row>
    <row r="21" spans="1:6">
      <c r="A21" s="363">
        <v>40</v>
      </c>
      <c r="B21" s="336" t="s">
        <v>28</v>
      </c>
      <c r="C21" s="363" t="s">
        <v>21</v>
      </c>
      <c r="D21" s="364" t="s">
        <v>29</v>
      </c>
      <c r="E21" s="368" t="s">
        <v>3</v>
      </c>
      <c r="F21" s="368" t="s">
        <v>3</v>
      </c>
    </row>
    <row r="22" spans="1:6">
      <c r="A22" s="363">
        <v>40</v>
      </c>
      <c r="B22" s="336" t="s">
        <v>30</v>
      </c>
      <c r="C22" s="363" t="s">
        <v>21</v>
      </c>
      <c r="D22" s="364" t="s">
        <v>31</v>
      </c>
      <c r="E22" s="368" t="s">
        <v>3</v>
      </c>
      <c r="F22" s="367"/>
    </row>
    <row r="23" spans="1:6">
      <c r="A23" s="363">
        <v>60</v>
      </c>
      <c r="B23" s="336" t="s">
        <v>32</v>
      </c>
      <c r="C23" s="363" t="s">
        <v>14</v>
      </c>
      <c r="D23" s="364" t="s">
        <v>33</v>
      </c>
      <c r="E23" s="366"/>
      <c r="F23" s="370" t="s">
        <v>3</v>
      </c>
    </row>
    <row r="24" spans="1:6">
      <c r="A24" s="363">
        <v>60</v>
      </c>
      <c r="B24" s="336" t="s">
        <v>34</v>
      </c>
      <c r="C24" s="363" t="s">
        <v>14</v>
      </c>
      <c r="D24" s="364" t="s">
        <v>35</v>
      </c>
      <c r="E24" s="366"/>
      <c r="F24" s="371" t="s">
        <v>3</v>
      </c>
    </row>
    <row r="25" spans="1:6">
      <c r="A25" s="363">
        <v>60</v>
      </c>
      <c r="B25" s="336" t="s">
        <v>36</v>
      </c>
      <c r="C25" s="363" t="s">
        <v>14</v>
      </c>
      <c r="D25" s="364" t="s">
        <v>37</v>
      </c>
      <c r="E25" s="366"/>
      <c r="F25" s="371" t="s">
        <v>3</v>
      </c>
    </row>
    <row r="26" spans="1:6">
      <c r="A26" s="363">
        <v>60</v>
      </c>
      <c r="B26" s="336" t="s">
        <v>38</v>
      </c>
      <c r="C26" s="363" t="s">
        <v>14</v>
      </c>
      <c r="D26" s="364" t="s">
        <v>39</v>
      </c>
      <c r="E26" s="366"/>
      <c r="F26" s="371" t="s">
        <v>3</v>
      </c>
    </row>
    <row r="27" spans="1:6">
      <c r="A27" s="363">
        <v>60</v>
      </c>
      <c r="B27" s="336" t="s">
        <v>40</v>
      </c>
      <c r="C27" s="363" t="s">
        <v>41</v>
      </c>
      <c r="D27" s="364" t="s">
        <v>42</v>
      </c>
      <c r="E27" s="366"/>
      <c r="F27" s="371" t="s">
        <v>3</v>
      </c>
    </row>
    <row r="28" spans="1:6">
      <c r="A28" s="363">
        <v>60</v>
      </c>
      <c r="B28" s="336"/>
      <c r="C28" s="363" t="s">
        <v>14</v>
      </c>
      <c r="D28" s="364" t="s">
        <v>43</v>
      </c>
      <c r="E28" s="366"/>
      <c r="F28" s="372"/>
    </row>
    <row r="29" spans="1:6">
      <c r="A29" s="363" t="s">
        <v>12</v>
      </c>
      <c r="B29" s="336" t="s">
        <v>44</v>
      </c>
      <c r="C29" s="363" t="s">
        <v>14</v>
      </c>
      <c r="D29" s="364" t="s">
        <v>45</v>
      </c>
      <c r="E29" s="373" t="s">
        <v>3</v>
      </c>
      <c r="F29" s="370" t="s">
        <v>3</v>
      </c>
    </row>
    <row r="30" spans="1:6">
      <c r="A30" s="363" t="s">
        <v>12</v>
      </c>
      <c r="B30" s="336" t="s">
        <v>46</v>
      </c>
      <c r="C30" s="363" t="s">
        <v>14</v>
      </c>
      <c r="D30" s="364" t="s">
        <v>47</v>
      </c>
      <c r="E30" s="373" t="s">
        <v>3</v>
      </c>
      <c r="F30" s="370" t="s">
        <v>3</v>
      </c>
    </row>
    <row r="31" spans="1:6">
      <c r="A31" s="363" t="s">
        <v>12</v>
      </c>
      <c r="B31" s="336" t="s">
        <v>48</v>
      </c>
      <c r="C31" s="363" t="s">
        <v>14</v>
      </c>
      <c r="D31" s="364" t="s">
        <v>49</v>
      </c>
      <c r="E31" s="373" t="s">
        <v>3</v>
      </c>
      <c r="F31" s="370" t="s">
        <v>3</v>
      </c>
    </row>
    <row r="32" spans="1:6">
      <c r="A32" s="363" t="s">
        <v>12</v>
      </c>
      <c r="B32" s="336" t="s">
        <v>50</v>
      </c>
      <c r="C32" s="363" t="s">
        <v>41</v>
      </c>
      <c r="D32" s="364" t="s">
        <v>51</v>
      </c>
      <c r="E32" s="373" t="s">
        <v>3</v>
      </c>
      <c r="F32" s="370" t="s">
        <v>3</v>
      </c>
    </row>
    <row r="33" spans="1:6">
      <c r="A33" s="363" t="s">
        <v>12</v>
      </c>
      <c r="B33" s="336" t="s">
        <v>52</v>
      </c>
      <c r="C33" s="363" t="s">
        <v>14</v>
      </c>
      <c r="D33" s="364" t="s">
        <v>53</v>
      </c>
      <c r="E33" s="366"/>
      <c r="F33" s="274"/>
    </row>
    <row r="34" spans="1:6">
      <c r="A34" s="363" t="s">
        <v>12</v>
      </c>
      <c r="B34" s="336" t="s">
        <v>54</v>
      </c>
      <c r="C34" s="363" t="s">
        <v>14</v>
      </c>
      <c r="D34" s="364" t="s">
        <v>55</v>
      </c>
      <c r="E34" s="367"/>
      <c r="F34" s="372" t="s">
        <v>3</v>
      </c>
    </row>
    <row r="35" spans="1:6">
      <c r="A35" s="363" t="s">
        <v>12</v>
      </c>
      <c r="B35" s="336" t="s">
        <v>56</v>
      </c>
      <c r="C35" s="363" t="s">
        <v>14</v>
      </c>
      <c r="D35" s="364" t="s">
        <v>57</v>
      </c>
      <c r="E35" s="368"/>
      <c r="F35" s="372" t="s">
        <v>3</v>
      </c>
    </row>
    <row r="36" spans="1:6" ht="15.75" thickBot="1">
      <c r="A36" s="374"/>
      <c r="B36" s="375"/>
      <c r="C36" s="374" t="s">
        <v>21</v>
      </c>
      <c r="D36" s="376" t="s">
        <v>58</v>
      </c>
      <c r="E36" s="377" t="s">
        <v>3</v>
      </c>
      <c r="F36" s="378" t="s">
        <v>3</v>
      </c>
    </row>
    <row r="37" spans="1:6" ht="15.75" thickBot="1">
      <c r="A37" s="355"/>
      <c r="B37" s="356"/>
      <c r="C37" s="356"/>
      <c r="D37" s="357" t="s">
        <v>3</v>
      </c>
      <c r="E37" s="358"/>
      <c r="F37" s="359"/>
    </row>
    <row r="38" spans="1:6">
      <c r="A38" s="360">
        <v>40</v>
      </c>
      <c r="B38" s="311" t="s">
        <v>59</v>
      </c>
      <c r="C38" s="360" t="s">
        <v>60</v>
      </c>
      <c r="D38" s="361" t="s">
        <v>61</v>
      </c>
      <c r="E38" s="379" t="s">
        <v>3</v>
      </c>
      <c r="F38" s="380" t="s">
        <v>3</v>
      </c>
    </row>
    <row r="39" spans="1:6" ht="15.75" thickBot="1">
      <c r="A39" s="374"/>
      <c r="B39" s="381" t="s">
        <v>62</v>
      </c>
      <c r="C39" s="374" t="s">
        <v>60</v>
      </c>
      <c r="D39" s="376" t="s">
        <v>63</v>
      </c>
      <c r="E39" s="382"/>
      <c r="F39" s="383" t="s">
        <v>3</v>
      </c>
    </row>
    <row r="40" spans="1:6" ht="15.75" thickBot="1">
      <c r="A40" s="355"/>
      <c r="B40" s="356"/>
      <c r="C40" s="356"/>
      <c r="D40" s="357" t="s">
        <v>3</v>
      </c>
      <c r="E40" s="358"/>
      <c r="F40" s="384" t="s">
        <v>3</v>
      </c>
    </row>
    <row r="41" spans="1:6">
      <c r="A41" s="360"/>
      <c r="B41" s="360"/>
      <c r="C41" s="360"/>
      <c r="D41" s="385"/>
      <c r="E41" s="386"/>
      <c r="F41" s="386"/>
    </row>
    <row r="42" spans="1:6">
      <c r="A42" s="363">
        <v>40</v>
      </c>
      <c r="B42" s="336" t="s">
        <v>64</v>
      </c>
      <c r="C42" s="363" t="s">
        <v>21</v>
      </c>
      <c r="D42" s="361" t="s">
        <v>65</v>
      </c>
      <c r="E42" s="379"/>
      <c r="F42" s="387"/>
    </row>
    <row r="43" spans="1:6">
      <c r="A43" s="363">
        <v>40</v>
      </c>
      <c r="B43" s="336" t="s">
        <v>66</v>
      </c>
      <c r="C43" s="363" t="s">
        <v>21</v>
      </c>
      <c r="D43" s="364" t="s">
        <v>67</v>
      </c>
      <c r="E43" s="368"/>
      <c r="F43" s="388"/>
    </row>
    <row r="44" spans="1:6">
      <c r="A44" s="363">
        <v>40</v>
      </c>
      <c r="B44" s="336" t="s">
        <v>68</v>
      </c>
      <c r="C44" s="363" t="s">
        <v>69</v>
      </c>
      <c r="D44" s="364" t="s">
        <v>70</v>
      </c>
      <c r="E44" s="368"/>
      <c r="F44" s="389"/>
    </row>
    <row r="45" spans="1:6">
      <c r="A45" s="363">
        <v>40</v>
      </c>
      <c r="B45" s="336" t="s">
        <v>71</v>
      </c>
      <c r="C45" s="363" t="s">
        <v>14</v>
      </c>
      <c r="D45" s="364" t="s">
        <v>72</v>
      </c>
      <c r="E45" s="368"/>
      <c r="F45" s="372"/>
    </row>
    <row r="46" spans="1:6">
      <c r="A46" s="363">
        <v>40</v>
      </c>
      <c r="B46" s="336" t="s">
        <v>73</v>
      </c>
      <c r="C46" s="363" t="s">
        <v>14</v>
      </c>
      <c r="D46" s="364" t="s">
        <v>74</v>
      </c>
      <c r="E46" s="368"/>
      <c r="F46" s="372"/>
    </row>
    <row r="47" spans="1:6">
      <c r="A47" s="363"/>
      <c r="B47" s="336" t="s">
        <v>75</v>
      </c>
      <c r="C47" s="363" t="s">
        <v>14</v>
      </c>
      <c r="D47" s="364" t="s">
        <v>76</v>
      </c>
      <c r="E47" s="368"/>
      <c r="F47" s="372"/>
    </row>
    <row r="48" spans="1:6">
      <c r="A48" s="363"/>
      <c r="B48" s="336" t="s">
        <v>77</v>
      </c>
      <c r="C48" s="363" t="s">
        <v>14</v>
      </c>
      <c r="D48" s="364" t="s">
        <v>78</v>
      </c>
      <c r="E48" s="368"/>
      <c r="F48" s="372"/>
    </row>
    <row r="49" spans="1:6">
      <c r="A49" s="363">
        <v>40</v>
      </c>
      <c r="B49" s="336" t="s">
        <v>79</v>
      </c>
      <c r="C49" s="363" t="s">
        <v>80</v>
      </c>
      <c r="D49" s="364" t="s">
        <v>81</v>
      </c>
      <c r="E49" s="372"/>
      <c r="F49" s="372"/>
    </row>
    <row r="50" spans="1:6" ht="15.75" thickBot="1">
      <c r="A50" s="374">
        <v>40</v>
      </c>
      <c r="B50" s="381" t="s">
        <v>82</v>
      </c>
      <c r="C50" s="374" t="s">
        <v>83</v>
      </c>
      <c r="D50" s="376" t="s">
        <v>84</v>
      </c>
      <c r="E50" s="377"/>
      <c r="F50" s="390"/>
    </row>
    <row r="51" spans="1:6" ht="15.75" thickBot="1">
      <c r="A51" s="355"/>
      <c r="B51" s="356"/>
      <c r="C51" s="356"/>
      <c r="D51" s="357" t="s">
        <v>3</v>
      </c>
      <c r="E51" s="391" t="s">
        <v>3</v>
      </c>
      <c r="F51" s="359"/>
    </row>
    <row r="52" spans="1:6">
      <c r="A52" s="360">
        <v>35</v>
      </c>
      <c r="B52" s="392" t="s">
        <v>85</v>
      </c>
      <c r="C52" s="360" t="s">
        <v>86</v>
      </c>
      <c r="D52" s="361" t="s">
        <v>87</v>
      </c>
      <c r="E52" s="387" t="s">
        <v>3</v>
      </c>
      <c r="F52" s="387" t="s">
        <v>3</v>
      </c>
    </row>
    <row r="53" spans="1:6">
      <c r="A53" s="363">
        <v>80</v>
      </c>
      <c r="B53" s="338" t="s">
        <v>88</v>
      </c>
      <c r="C53" s="363" t="s">
        <v>14</v>
      </c>
      <c r="D53" s="393" t="s">
        <v>89</v>
      </c>
      <c r="E53" s="367" t="s">
        <v>3</v>
      </c>
      <c r="F53" s="367" t="s">
        <v>3</v>
      </c>
    </row>
    <row r="54" spans="1:6">
      <c r="A54" s="363">
        <v>80</v>
      </c>
      <c r="B54" s="338" t="s">
        <v>90</v>
      </c>
      <c r="C54" s="363" t="s">
        <v>14</v>
      </c>
      <c r="D54" s="364" t="s">
        <v>91</v>
      </c>
      <c r="E54" s="367" t="s">
        <v>3</v>
      </c>
      <c r="F54" s="367" t="s">
        <v>3</v>
      </c>
    </row>
    <row r="55" spans="1:6">
      <c r="A55" s="363">
        <v>35</v>
      </c>
      <c r="B55" s="338" t="s">
        <v>92</v>
      </c>
      <c r="C55" s="363" t="s">
        <v>86</v>
      </c>
      <c r="D55" s="364" t="s">
        <v>93</v>
      </c>
      <c r="E55" s="394" t="s">
        <v>3</v>
      </c>
      <c r="F55" s="394" t="s">
        <v>3</v>
      </c>
    </row>
    <row r="56" spans="1:6">
      <c r="A56" s="363">
        <v>80</v>
      </c>
      <c r="B56" s="338" t="s">
        <v>94</v>
      </c>
      <c r="C56" s="363" t="s">
        <v>14</v>
      </c>
      <c r="D56" s="364" t="s">
        <v>95</v>
      </c>
      <c r="E56" s="366"/>
      <c r="F56" s="367"/>
    </row>
    <row r="57" spans="1:6">
      <c r="A57" s="363"/>
      <c r="B57" s="338" t="s">
        <v>96</v>
      </c>
      <c r="C57" s="363" t="s">
        <v>97</v>
      </c>
      <c r="D57" s="364" t="s">
        <v>98</v>
      </c>
      <c r="E57" s="366"/>
      <c r="F57" s="367"/>
    </row>
    <row r="58" spans="1:6">
      <c r="A58" s="363"/>
      <c r="B58" s="338"/>
      <c r="C58" s="363">
        <v>55.12</v>
      </c>
      <c r="D58" s="364" t="s">
        <v>99</v>
      </c>
      <c r="E58" s="394" t="s">
        <v>3</v>
      </c>
      <c r="F58" s="394" t="s">
        <v>3</v>
      </c>
    </row>
    <row r="59" spans="1:6" ht="15.75" thickBot="1">
      <c r="A59" s="374"/>
      <c r="B59" s="395"/>
      <c r="C59" s="374" t="s">
        <v>21</v>
      </c>
      <c r="D59" s="376" t="s">
        <v>100</v>
      </c>
      <c r="E59" s="396"/>
      <c r="F59" s="397"/>
    </row>
    <row r="60" spans="1:6" ht="15.75" thickBot="1">
      <c r="A60" s="355"/>
      <c r="B60" s="356"/>
      <c r="C60" s="356"/>
      <c r="D60" s="357" t="s">
        <v>3</v>
      </c>
      <c r="E60" s="398" t="s">
        <v>3</v>
      </c>
      <c r="F60" s="359"/>
    </row>
    <row r="61" spans="1:6">
      <c r="A61" s="360">
        <v>80</v>
      </c>
      <c r="B61" s="392" t="s">
        <v>101</v>
      </c>
      <c r="C61" s="360" t="s">
        <v>14</v>
      </c>
      <c r="D61" s="361" t="s">
        <v>102</v>
      </c>
      <c r="E61" s="399"/>
      <c r="F61" s="400"/>
    </row>
    <row r="62" spans="1:6">
      <c r="A62" s="363">
        <v>80</v>
      </c>
      <c r="B62" s="338" t="s">
        <v>103</v>
      </c>
      <c r="C62" s="363" t="s">
        <v>14</v>
      </c>
      <c r="D62" s="364" t="s">
        <v>104</v>
      </c>
      <c r="E62" s="366"/>
      <c r="F62" s="367"/>
    </row>
    <row r="63" spans="1:6">
      <c r="A63" s="363">
        <v>80</v>
      </c>
      <c r="B63" s="338" t="s">
        <v>105</v>
      </c>
      <c r="C63" s="363" t="s">
        <v>14</v>
      </c>
      <c r="D63" s="364" t="s">
        <v>106</v>
      </c>
      <c r="E63" s="401"/>
      <c r="F63" s="402"/>
    </row>
    <row r="64" spans="1:6">
      <c r="A64" s="363">
        <v>80</v>
      </c>
      <c r="B64" s="338" t="s">
        <v>107</v>
      </c>
      <c r="C64" s="363" t="s">
        <v>14</v>
      </c>
      <c r="D64" s="364" t="s">
        <v>108</v>
      </c>
      <c r="E64" s="366"/>
      <c r="F64" s="367"/>
    </row>
    <row r="65" spans="1:6" ht="15.75" thickBot="1">
      <c r="A65" s="374">
        <v>80</v>
      </c>
      <c r="B65" s="395" t="s">
        <v>109</v>
      </c>
      <c r="C65" s="374" t="s">
        <v>14</v>
      </c>
      <c r="D65" s="376" t="s">
        <v>110</v>
      </c>
      <c r="E65" s="396"/>
      <c r="F65" s="403"/>
    </row>
    <row r="66" spans="1:6" ht="15.75" thickBot="1">
      <c r="A66" s="355"/>
      <c r="B66" s="356"/>
      <c r="C66" s="356"/>
      <c r="D66" s="357" t="s">
        <v>3</v>
      </c>
      <c r="E66" s="358"/>
      <c r="F66" s="359"/>
    </row>
    <row r="67" spans="1:6">
      <c r="A67" s="404"/>
      <c r="B67" s="405" t="s">
        <v>111</v>
      </c>
      <c r="C67" s="360" t="s">
        <v>112</v>
      </c>
      <c r="D67" s="361" t="s">
        <v>113</v>
      </c>
      <c r="E67" s="406"/>
      <c r="F67" s="387"/>
    </row>
    <row r="68" spans="1:6">
      <c r="A68" s="407"/>
      <c r="B68" s="408" t="s">
        <v>114</v>
      </c>
      <c r="C68" s="363" t="s">
        <v>112</v>
      </c>
      <c r="D68" s="364" t="s">
        <v>115</v>
      </c>
      <c r="E68" s="366"/>
      <c r="F68" s="367"/>
    </row>
    <row r="69" spans="1:6">
      <c r="A69" s="407">
        <v>88</v>
      </c>
      <c r="B69" s="408" t="s">
        <v>116</v>
      </c>
      <c r="C69" s="363" t="s">
        <v>112</v>
      </c>
      <c r="D69" s="364" t="s">
        <v>117</v>
      </c>
      <c r="E69" s="409"/>
      <c r="F69" s="410"/>
    </row>
    <row r="70" spans="1:6">
      <c r="A70" s="407"/>
      <c r="B70" s="408" t="s">
        <v>118</v>
      </c>
      <c r="C70" s="363" t="s">
        <v>112</v>
      </c>
      <c r="D70" s="364" t="s">
        <v>119</v>
      </c>
      <c r="E70" s="409"/>
      <c r="F70" s="410"/>
    </row>
    <row r="71" spans="1:6">
      <c r="A71" s="407" t="s">
        <v>120</v>
      </c>
      <c r="B71" s="408" t="s">
        <v>121</v>
      </c>
      <c r="C71" s="363" t="s">
        <v>122</v>
      </c>
      <c r="D71" s="364" t="s">
        <v>123</v>
      </c>
      <c r="E71" s="409"/>
      <c r="F71" s="410"/>
    </row>
    <row r="72" spans="1:6" ht="15.75" thickBot="1">
      <c r="A72" s="411">
        <v>20</v>
      </c>
      <c r="B72" s="412" t="s">
        <v>124</v>
      </c>
      <c r="C72" s="374" t="s">
        <v>125</v>
      </c>
      <c r="D72" s="376" t="s">
        <v>126</v>
      </c>
      <c r="E72" s="396"/>
      <c r="F72" s="403"/>
    </row>
    <row r="73" spans="1:6" ht="15.75" thickBot="1">
      <c r="A73" s="355"/>
      <c r="B73" s="356"/>
      <c r="C73" s="356"/>
      <c r="D73" s="357" t="s">
        <v>3</v>
      </c>
      <c r="E73" s="358"/>
      <c r="F73" s="413" t="s">
        <v>3</v>
      </c>
    </row>
    <row r="74" spans="1:6">
      <c r="A74" s="360">
        <v>60</v>
      </c>
      <c r="B74" s="392" t="s">
        <v>127</v>
      </c>
      <c r="C74" s="360" t="s">
        <v>128</v>
      </c>
      <c r="D74" s="361" t="s">
        <v>129</v>
      </c>
      <c r="E74" s="379" t="s">
        <v>3</v>
      </c>
      <c r="F74" s="414" t="s">
        <v>3</v>
      </c>
    </row>
    <row r="75" spans="1:6">
      <c r="A75" s="363">
        <v>60</v>
      </c>
      <c r="B75" s="415" t="s">
        <v>130</v>
      </c>
      <c r="C75" s="363" t="s">
        <v>112</v>
      </c>
      <c r="D75" s="364" t="s">
        <v>131</v>
      </c>
      <c r="E75" s="416" t="s">
        <v>3</v>
      </c>
      <c r="F75" s="417" t="s">
        <v>3</v>
      </c>
    </row>
    <row r="76" spans="1:6">
      <c r="A76" s="363">
        <v>60</v>
      </c>
      <c r="B76" s="338" t="s">
        <v>132</v>
      </c>
      <c r="C76" s="363" t="s">
        <v>112</v>
      </c>
      <c r="D76" s="364" t="s">
        <v>133</v>
      </c>
      <c r="E76" s="418" t="s">
        <v>3</v>
      </c>
      <c r="F76" s="417" t="s">
        <v>3</v>
      </c>
    </row>
    <row r="77" spans="1:6">
      <c r="A77" s="363">
        <v>60</v>
      </c>
      <c r="B77" s="338" t="s">
        <v>134</v>
      </c>
      <c r="C77" s="363" t="s">
        <v>112</v>
      </c>
      <c r="D77" s="364" t="s">
        <v>135</v>
      </c>
      <c r="E77" s="418" t="s">
        <v>3</v>
      </c>
      <c r="F77" s="417" t="s">
        <v>3</v>
      </c>
    </row>
    <row r="78" spans="1:6">
      <c r="A78" s="363">
        <v>60</v>
      </c>
      <c r="B78" s="338" t="s">
        <v>136</v>
      </c>
      <c r="C78" s="363" t="s">
        <v>112</v>
      </c>
      <c r="D78" s="364" t="s">
        <v>137</v>
      </c>
      <c r="E78" s="418" t="s">
        <v>3</v>
      </c>
      <c r="F78" s="417" t="s">
        <v>3</v>
      </c>
    </row>
    <row r="79" spans="1:6" ht="15.75" thickBot="1">
      <c r="A79" s="374"/>
      <c r="B79" s="395"/>
      <c r="C79" s="374" t="s">
        <v>21</v>
      </c>
      <c r="D79" s="376" t="s">
        <v>138</v>
      </c>
      <c r="E79" s="419"/>
      <c r="F79" s="420"/>
    </row>
    <row r="80" spans="1:6" ht="15.75" thickBot="1">
      <c r="A80" s="355"/>
      <c r="B80" s="356"/>
      <c r="C80" s="356"/>
      <c r="D80" s="357" t="s">
        <v>3</v>
      </c>
      <c r="E80" s="421" t="s">
        <v>3</v>
      </c>
      <c r="F80" s="359"/>
    </row>
    <row r="81" spans="1:6">
      <c r="A81" s="360">
        <v>40</v>
      </c>
      <c r="B81" s="392" t="s">
        <v>139</v>
      </c>
      <c r="C81" s="360" t="s">
        <v>140</v>
      </c>
      <c r="D81" s="361" t="s">
        <v>141</v>
      </c>
      <c r="E81" s="422" t="s">
        <v>3</v>
      </c>
      <c r="F81" s="423" t="s">
        <v>3</v>
      </c>
    </row>
    <row r="82" spans="1:6">
      <c r="A82" s="363">
        <v>40</v>
      </c>
      <c r="B82" s="338" t="s">
        <v>142</v>
      </c>
      <c r="C82" s="363" t="s">
        <v>140</v>
      </c>
      <c r="D82" s="364" t="s">
        <v>143</v>
      </c>
      <c r="E82" s="424" t="s">
        <v>3</v>
      </c>
      <c r="F82" s="367"/>
    </row>
    <row r="83" spans="1:6">
      <c r="A83" s="363">
        <v>40</v>
      </c>
      <c r="B83" s="338" t="s">
        <v>144</v>
      </c>
      <c r="C83" s="363" t="s">
        <v>140</v>
      </c>
      <c r="D83" s="364" t="s">
        <v>145</v>
      </c>
      <c r="E83" s="424" t="s">
        <v>3</v>
      </c>
      <c r="F83" s="425" t="s">
        <v>3</v>
      </c>
    </row>
    <row r="84" spans="1:6">
      <c r="A84" s="363"/>
      <c r="B84" s="338" t="s">
        <v>146</v>
      </c>
      <c r="C84" s="363" t="s">
        <v>147</v>
      </c>
      <c r="D84" s="364" t="s">
        <v>148</v>
      </c>
      <c r="E84" s="368"/>
      <c r="F84" s="367"/>
    </row>
    <row r="85" spans="1:6" ht="15.75" thickBot="1">
      <c r="A85" s="374"/>
      <c r="B85" s="395" t="s">
        <v>149</v>
      </c>
      <c r="C85" s="374" t="s">
        <v>150</v>
      </c>
      <c r="D85" s="376" t="s">
        <v>151</v>
      </c>
      <c r="E85" s="276"/>
      <c r="F85" s="403"/>
    </row>
    <row r="86" spans="1:6" ht="15.75" thickBot="1">
      <c r="A86" s="355"/>
      <c r="B86" s="356"/>
      <c r="C86" s="356"/>
      <c r="D86" s="357" t="s">
        <v>3</v>
      </c>
      <c r="E86" s="426" t="s">
        <v>3</v>
      </c>
      <c r="F86" s="359"/>
    </row>
    <row r="87" spans="1:6">
      <c r="A87" s="427">
        <v>72</v>
      </c>
      <c r="B87" s="392" t="s">
        <v>152</v>
      </c>
      <c r="C87" s="360" t="s">
        <v>97</v>
      </c>
      <c r="D87" s="361" t="s">
        <v>153</v>
      </c>
      <c r="E87" s="387"/>
      <c r="F87" s="428"/>
    </row>
    <row r="88" spans="1:6">
      <c r="A88" s="363"/>
      <c r="B88" s="338" t="s">
        <v>154</v>
      </c>
      <c r="C88" s="363" t="s">
        <v>112</v>
      </c>
      <c r="D88" s="393" t="s">
        <v>155</v>
      </c>
      <c r="E88" s="367"/>
      <c r="F88" s="367"/>
    </row>
    <row r="89" spans="1:6">
      <c r="A89" s="363">
        <v>70</v>
      </c>
      <c r="B89" s="338" t="s">
        <v>156</v>
      </c>
      <c r="C89" s="363" t="s">
        <v>157</v>
      </c>
      <c r="D89" s="364" t="s">
        <v>158</v>
      </c>
      <c r="E89" s="394"/>
      <c r="F89" s="394"/>
    </row>
    <row r="90" spans="1:6">
      <c r="A90" s="363">
        <v>70</v>
      </c>
      <c r="B90" s="338" t="s">
        <v>159</v>
      </c>
      <c r="C90" s="363" t="s">
        <v>157</v>
      </c>
      <c r="D90" s="364" t="s">
        <v>160</v>
      </c>
      <c r="E90" s="394"/>
      <c r="F90" s="394"/>
    </row>
    <row r="91" spans="1:6">
      <c r="A91" s="363">
        <v>80</v>
      </c>
      <c r="B91" s="338" t="s">
        <v>161</v>
      </c>
      <c r="C91" s="429" t="s">
        <v>128</v>
      </c>
      <c r="D91" s="393" t="s">
        <v>162</v>
      </c>
      <c r="E91" s="367"/>
      <c r="F91" s="367"/>
    </row>
    <row r="92" spans="1:6">
      <c r="A92" s="363"/>
      <c r="B92" s="338" t="s">
        <v>163</v>
      </c>
      <c r="C92" s="363" t="s">
        <v>97</v>
      </c>
      <c r="D92" s="393" t="s">
        <v>164</v>
      </c>
      <c r="E92" s="367"/>
      <c r="F92" s="367"/>
    </row>
    <row r="93" spans="1:6" ht="15.75" thickBot="1">
      <c r="A93" s="430">
        <v>70</v>
      </c>
      <c r="B93" s="338" t="s">
        <v>165</v>
      </c>
      <c r="C93" s="430" t="s">
        <v>112</v>
      </c>
      <c r="D93" s="364" t="s">
        <v>166</v>
      </c>
      <c r="E93" s="431"/>
      <c r="F93" s="431"/>
    </row>
    <row r="94" spans="1:6" ht="15.75" thickBot="1">
      <c r="A94" s="432"/>
      <c r="B94" s="433"/>
      <c r="C94" s="434"/>
      <c r="D94" s="435" t="s">
        <v>3</v>
      </c>
      <c r="E94" s="436"/>
      <c r="F94" s="437"/>
    </row>
    <row r="95" spans="1:6">
      <c r="A95" s="438">
        <v>40</v>
      </c>
      <c r="B95" s="338" t="s">
        <v>167</v>
      </c>
      <c r="C95" s="438" t="s">
        <v>168</v>
      </c>
      <c r="D95" s="364" t="s">
        <v>169</v>
      </c>
      <c r="E95" s="439" t="s">
        <v>3</v>
      </c>
      <c r="F95" s="440" t="s">
        <v>3</v>
      </c>
    </row>
    <row r="96" spans="1:6">
      <c r="A96" s="363"/>
      <c r="B96" s="338" t="s">
        <v>170</v>
      </c>
      <c r="C96" s="363" t="s">
        <v>14</v>
      </c>
      <c r="D96" s="364" t="s">
        <v>171</v>
      </c>
      <c r="E96" s="366"/>
      <c r="F96" s="441"/>
    </row>
    <row r="97" spans="1:6">
      <c r="A97" s="363"/>
      <c r="B97" s="338" t="s">
        <v>172</v>
      </c>
      <c r="C97" s="363" t="s">
        <v>14</v>
      </c>
      <c r="D97" s="364" t="s">
        <v>173</v>
      </c>
      <c r="E97" s="366"/>
      <c r="F97" s="441"/>
    </row>
    <row r="98" spans="1:6" ht="15.75" thickBot="1">
      <c r="A98" s="374"/>
      <c r="B98" s="395" t="s">
        <v>174</v>
      </c>
      <c r="C98" s="374" t="s">
        <v>86</v>
      </c>
      <c r="D98" s="376" t="s">
        <v>175</v>
      </c>
      <c r="E98" s="396"/>
      <c r="F98" s="442"/>
    </row>
    <row r="99" spans="1:6" ht="15.75" thickBot="1">
      <c r="A99" s="355"/>
      <c r="B99" s="356"/>
      <c r="C99" s="356"/>
      <c r="D99" s="357" t="s">
        <v>3</v>
      </c>
      <c r="E99" s="358"/>
      <c r="F99" s="359"/>
    </row>
    <row r="100" spans="1:6">
      <c r="A100" s="404" t="s">
        <v>176</v>
      </c>
      <c r="B100" s="443" t="s">
        <v>177</v>
      </c>
      <c r="C100" s="444" t="s">
        <v>21</v>
      </c>
      <c r="D100" s="445" t="s">
        <v>178</v>
      </c>
      <c r="E100" s="446" t="s">
        <v>3</v>
      </c>
      <c r="F100" s="447"/>
    </row>
    <row r="101" spans="1:6">
      <c r="A101" s="407" t="s">
        <v>179</v>
      </c>
      <c r="B101" s="339" t="s">
        <v>180</v>
      </c>
      <c r="C101" s="448" t="s">
        <v>112</v>
      </c>
      <c r="D101" s="449" t="s">
        <v>181</v>
      </c>
      <c r="E101" s="450"/>
      <c r="F101" s="451"/>
    </row>
    <row r="102" spans="1:6" ht="15.75" thickBot="1">
      <c r="A102" s="411"/>
      <c r="B102" s="255" t="s">
        <v>182</v>
      </c>
      <c r="C102" s="452" t="s">
        <v>112</v>
      </c>
      <c r="D102" s="453" t="s">
        <v>183</v>
      </c>
      <c r="E102" s="454"/>
      <c r="F102" s="455"/>
    </row>
    <row r="103" spans="1:6" ht="15.75" thickBot="1">
      <c r="A103" s="355"/>
      <c r="B103" s="356"/>
      <c r="C103" s="356"/>
      <c r="D103" s="357" t="s">
        <v>3</v>
      </c>
      <c r="E103" s="358"/>
      <c r="F103" s="456" t="s">
        <v>3</v>
      </c>
    </row>
    <row r="104" spans="1:6">
      <c r="A104" s="360">
        <v>70</v>
      </c>
      <c r="B104" s="392" t="s">
        <v>184</v>
      </c>
      <c r="C104" s="360" t="s">
        <v>112</v>
      </c>
      <c r="D104" s="361" t="s">
        <v>185</v>
      </c>
      <c r="E104" s="406"/>
      <c r="F104" s="457"/>
    </row>
    <row r="105" spans="1:6">
      <c r="A105" s="363" t="s">
        <v>186</v>
      </c>
      <c r="B105" s="338" t="s">
        <v>187</v>
      </c>
      <c r="C105" s="363" t="s">
        <v>14</v>
      </c>
      <c r="D105" s="364" t="s">
        <v>188</v>
      </c>
      <c r="E105" s="366"/>
      <c r="F105" s="458"/>
    </row>
    <row r="106" spans="1:6">
      <c r="A106" s="363"/>
      <c r="B106" s="338" t="s">
        <v>189</v>
      </c>
      <c r="C106" s="363" t="s">
        <v>112</v>
      </c>
      <c r="D106" s="364" t="s">
        <v>190</v>
      </c>
      <c r="E106" s="366" t="s">
        <v>3</v>
      </c>
      <c r="F106" s="402"/>
    </row>
    <row r="107" spans="1:6">
      <c r="A107" s="363" t="s">
        <v>186</v>
      </c>
      <c r="B107" s="338" t="s">
        <v>191</v>
      </c>
      <c r="C107" s="363" t="s">
        <v>112</v>
      </c>
      <c r="D107" s="364" t="s">
        <v>192</v>
      </c>
      <c r="E107" s="366" t="s">
        <v>3</v>
      </c>
      <c r="F107" s="367"/>
    </row>
    <row r="108" spans="1:6">
      <c r="A108" s="363"/>
      <c r="B108" s="338" t="s">
        <v>193</v>
      </c>
      <c r="C108" s="363" t="s">
        <v>112</v>
      </c>
      <c r="D108" s="364" t="s">
        <v>194</v>
      </c>
      <c r="E108" s="366"/>
      <c r="F108" s="367"/>
    </row>
    <row r="109" spans="1:6">
      <c r="A109" s="363" t="s">
        <v>186</v>
      </c>
      <c r="B109" s="338" t="s">
        <v>195</v>
      </c>
      <c r="C109" s="363" t="s">
        <v>14</v>
      </c>
      <c r="D109" s="364" t="s">
        <v>196</v>
      </c>
      <c r="E109" s="366"/>
      <c r="F109" s="367"/>
    </row>
    <row r="110" spans="1:6">
      <c r="A110" s="363"/>
      <c r="B110" s="338" t="s">
        <v>197</v>
      </c>
      <c r="C110" s="363" t="s">
        <v>14</v>
      </c>
      <c r="D110" s="364" t="s">
        <v>198</v>
      </c>
      <c r="E110" s="424" t="s">
        <v>3</v>
      </c>
      <c r="F110" s="459"/>
    </row>
    <row r="111" spans="1:6">
      <c r="A111" s="363" t="s">
        <v>186</v>
      </c>
      <c r="B111" s="338" t="s">
        <v>199</v>
      </c>
      <c r="C111" s="363" t="s">
        <v>97</v>
      </c>
      <c r="D111" s="364" t="s">
        <v>200</v>
      </c>
      <c r="E111" s="368"/>
      <c r="F111" s="458"/>
    </row>
    <row r="112" spans="1:6">
      <c r="A112" s="363" t="s">
        <v>186</v>
      </c>
      <c r="B112" s="338" t="s">
        <v>201</v>
      </c>
      <c r="C112" s="363" t="s">
        <v>14</v>
      </c>
      <c r="D112" s="364" t="s">
        <v>202</v>
      </c>
      <c r="E112" s="424" t="s">
        <v>3</v>
      </c>
      <c r="F112" s="460"/>
    </row>
    <row r="113" spans="1:6">
      <c r="A113" s="363"/>
      <c r="B113" s="338" t="s">
        <v>203</v>
      </c>
      <c r="C113" s="363" t="s">
        <v>21</v>
      </c>
      <c r="D113" s="364" t="s">
        <v>204</v>
      </c>
      <c r="E113" s="368" t="s">
        <v>3</v>
      </c>
      <c r="F113" s="367"/>
    </row>
    <row r="114" spans="1:6" ht="15.75" thickBot="1">
      <c r="A114" s="375"/>
      <c r="B114" s="461"/>
      <c r="C114" s="375"/>
      <c r="D114" s="461"/>
      <c r="E114" s="375"/>
      <c r="F114" s="375"/>
    </row>
    <row r="115" spans="1:6" ht="19.5" thickBot="1">
      <c r="A115" s="462"/>
      <c r="B115" s="463"/>
      <c r="C115" s="464"/>
      <c r="D115" s="465" t="s">
        <v>205</v>
      </c>
      <c r="E115" s="466"/>
      <c r="F115" s="467"/>
    </row>
    <row r="116" spans="1:6" ht="19.5" thickBot="1">
      <c r="A116" s="468"/>
      <c r="B116" s="86"/>
      <c r="C116" s="469"/>
      <c r="D116" s="470"/>
      <c r="E116" s="471"/>
      <c r="F116" s="472"/>
    </row>
    <row r="117" spans="1:6" ht="15.75" thickBot="1">
      <c r="A117" s="473"/>
      <c r="B117" s="474"/>
      <c r="C117" s="475"/>
      <c r="D117" s="476" t="s">
        <v>206</v>
      </c>
      <c r="E117" s="477"/>
      <c r="F117" s="478"/>
    </row>
    <row r="118" spans="1:6">
      <c r="A118" s="479"/>
      <c r="B118" s="480" t="s">
        <v>207</v>
      </c>
      <c r="C118" s="481" t="s">
        <v>60</v>
      </c>
      <c r="D118" s="482" t="s">
        <v>208</v>
      </c>
      <c r="E118" s="483"/>
      <c r="F118" s="484"/>
    </row>
    <row r="119" spans="1:6" ht="15.75" thickBot="1">
      <c r="A119" s="375"/>
      <c r="B119" s="381" t="s">
        <v>209</v>
      </c>
      <c r="C119" s="485" t="s">
        <v>60</v>
      </c>
      <c r="D119" s="486" t="s">
        <v>210</v>
      </c>
      <c r="E119" s="382"/>
      <c r="F119" s="420"/>
    </row>
    <row r="120" spans="1:6" ht="15.75" thickBot="1">
      <c r="A120" s="355"/>
      <c r="B120" s="356"/>
      <c r="C120" s="356"/>
      <c r="D120" s="487"/>
      <c r="E120" s="358"/>
      <c r="F120" s="359"/>
    </row>
    <row r="121" spans="1:6" ht="15.75">
      <c r="A121" s="488">
        <v>70</v>
      </c>
      <c r="B121" s="489" t="s">
        <v>211</v>
      </c>
      <c r="C121" s="488" t="s">
        <v>212</v>
      </c>
      <c r="D121" s="490" t="s">
        <v>213</v>
      </c>
      <c r="E121" s="491"/>
      <c r="F121" s="492"/>
    </row>
    <row r="122" spans="1:6">
      <c r="A122" s="363">
        <v>70</v>
      </c>
      <c r="B122" s="338" t="s">
        <v>214</v>
      </c>
      <c r="C122" s="363" t="s">
        <v>212</v>
      </c>
      <c r="D122" s="364" t="s">
        <v>215</v>
      </c>
      <c r="E122" s="366"/>
      <c r="F122" s="402"/>
    </row>
    <row r="123" spans="1:6">
      <c r="A123" s="363"/>
      <c r="B123" s="338" t="s">
        <v>216</v>
      </c>
      <c r="C123" s="363" t="s">
        <v>212</v>
      </c>
      <c r="D123" s="364" t="s">
        <v>217</v>
      </c>
      <c r="E123" s="366"/>
      <c r="F123" s="367"/>
    </row>
    <row r="124" spans="1:6">
      <c r="A124" s="363"/>
      <c r="B124" s="338"/>
      <c r="C124" s="363"/>
      <c r="D124" s="364" t="s">
        <v>217</v>
      </c>
      <c r="E124" s="366"/>
      <c r="F124" s="367"/>
    </row>
    <row r="125" spans="1:6">
      <c r="A125" s="363" t="s">
        <v>186</v>
      </c>
      <c r="B125" s="338" t="s">
        <v>218</v>
      </c>
      <c r="C125" s="363" t="s">
        <v>14</v>
      </c>
      <c r="D125" s="364" t="s">
        <v>219</v>
      </c>
      <c r="E125" s="366"/>
      <c r="F125" s="367"/>
    </row>
    <row r="126" spans="1:6">
      <c r="A126" s="363">
        <v>40</v>
      </c>
      <c r="B126" s="338" t="s">
        <v>220</v>
      </c>
      <c r="C126" s="363" t="s">
        <v>212</v>
      </c>
      <c r="D126" s="364" t="s">
        <v>221</v>
      </c>
      <c r="E126" s="401"/>
      <c r="F126" s="402"/>
    </row>
    <row r="127" spans="1:6">
      <c r="A127" s="363"/>
      <c r="B127" s="338" t="s">
        <v>222</v>
      </c>
      <c r="C127" s="363" t="s">
        <v>223</v>
      </c>
      <c r="D127" s="364" t="s">
        <v>224</v>
      </c>
      <c r="E127" s="366"/>
      <c r="F127" s="493"/>
    </row>
    <row r="128" spans="1:6">
      <c r="A128" s="363"/>
      <c r="B128" s="338" t="s">
        <v>225</v>
      </c>
      <c r="C128" s="363" t="s">
        <v>226</v>
      </c>
      <c r="D128" s="364" t="s">
        <v>224</v>
      </c>
      <c r="E128" s="366"/>
      <c r="F128" s="493"/>
    </row>
    <row r="129" spans="1:6">
      <c r="A129" s="363"/>
      <c r="B129" s="338" t="s">
        <v>227</v>
      </c>
      <c r="C129" s="363" t="s">
        <v>228</v>
      </c>
      <c r="D129" s="364" t="s">
        <v>224</v>
      </c>
      <c r="E129" s="366"/>
      <c r="F129" s="493"/>
    </row>
    <row r="130" spans="1:6">
      <c r="A130" s="363"/>
      <c r="B130" s="338" t="s">
        <v>229</v>
      </c>
      <c r="C130" s="363" t="s">
        <v>230</v>
      </c>
      <c r="D130" s="364" t="s">
        <v>231</v>
      </c>
      <c r="E130" s="366"/>
      <c r="F130" s="367"/>
    </row>
    <row r="131" spans="1:6" ht="15.75" thickBot="1">
      <c r="A131" s="374"/>
      <c r="B131" s="395"/>
      <c r="C131" s="374" t="s">
        <v>97</v>
      </c>
      <c r="D131" s="494" t="s">
        <v>232</v>
      </c>
      <c r="E131" s="396"/>
      <c r="F131" s="403"/>
    </row>
    <row r="132" spans="1:6" ht="15.75" thickBot="1">
      <c r="A132" s="355"/>
      <c r="B132" s="356"/>
      <c r="C132" s="356"/>
      <c r="D132" s="487"/>
      <c r="E132" s="358"/>
      <c r="F132" s="359"/>
    </row>
    <row r="133" spans="1:6">
      <c r="A133" s="360">
        <v>100</v>
      </c>
      <c r="B133" s="392" t="s">
        <v>233</v>
      </c>
      <c r="C133" s="360" t="s">
        <v>234</v>
      </c>
      <c r="D133" s="361" t="s">
        <v>235</v>
      </c>
      <c r="E133" s="379" t="s">
        <v>3</v>
      </c>
      <c r="F133" s="387"/>
    </row>
    <row r="134" spans="1:6">
      <c r="A134" s="363">
        <v>128</v>
      </c>
      <c r="B134" s="338" t="s">
        <v>236</v>
      </c>
      <c r="C134" s="363" t="s">
        <v>237</v>
      </c>
      <c r="D134" s="364" t="s">
        <v>238</v>
      </c>
      <c r="E134" s="366"/>
      <c r="F134" s="367"/>
    </row>
    <row r="135" spans="1:6" ht="15.75" thickBot="1">
      <c r="A135" s="374"/>
      <c r="B135" s="395" t="s">
        <v>239</v>
      </c>
      <c r="C135" s="374" t="s">
        <v>237</v>
      </c>
      <c r="D135" s="376" t="s">
        <v>240</v>
      </c>
      <c r="E135" s="396"/>
      <c r="F135" s="403"/>
    </row>
    <row r="136" spans="1:6" ht="15.75" thickBot="1">
      <c r="A136" s="355"/>
      <c r="B136" s="356"/>
      <c r="C136" s="356"/>
      <c r="D136" s="487"/>
      <c r="E136" s="358"/>
      <c r="F136" s="359"/>
    </row>
    <row r="137" spans="1:6">
      <c r="A137" s="360" t="s">
        <v>241</v>
      </c>
      <c r="B137" s="392" t="s">
        <v>242</v>
      </c>
      <c r="C137" s="360" t="s">
        <v>60</v>
      </c>
      <c r="D137" s="361" t="s">
        <v>243</v>
      </c>
      <c r="E137" s="495"/>
      <c r="F137" s="496"/>
    </row>
    <row r="138" spans="1:6" ht="15.75" thickBot="1">
      <c r="A138" s="374" t="s">
        <v>244</v>
      </c>
      <c r="B138" s="395" t="s">
        <v>245</v>
      </c>
      <c r="C138" s="374" t="s">
        <v>14</v>
      </c>
      <c r="D138" s="376" t="s">
        <v>246</v>
      </c>
      <c r="E138" s="396"/>
      <c r="F138" s="403"/>
    </row>
    <row r="139" spans="1:6" ht="15.75" thickBot="1">
      <c r="A139" s="355"/>
      <c r="B139" s="356"/>
      <c r="C139" s="356"/>
      <c r="D139" s="487"/>
      <c r="E139" s="358"/>
      <c r="F139" s="359"/>
    </row>
    <row r="140" spans="1:6">
      <c r="A140" s="360">
        <v>80</v>
      </c>
      <c r="B140" s="392" t="s">
        <v>247</v>
      </c>
      <c r="C140" s="360" t="s">
        <v>14</v>
      </c>
      <c r="D140" s="361" t="s">
        <v>248</v>
      </c>
      <c r="E140" s="406"/>
      <c r="F140" s="387"/>
    </row>
    <row r="141" spans="1:6">
      <c r="A141" s="363" t="s">
        <v>249</v>
      </c>
      <c r="B141" s="338" t="s">
        <v>250</v>
      </c>
      <c r="C141" s="363" t="s">
        <v>14</v>
      </c>
      <c r="D141" s="364" t="s">
        <v>251</v>
      </c>
      <c r="E141" s="366"/>
      <c r="F141" s="367"/>
    </row>
    <row r="142" spans="1:6">
      <c r="A142" s="363">
        <v>80</v>
      </c>
      <c r="B142" s="338" t="s">
        <v>252</v>
      </c>
      <c r="C142" s="363" t="s">
        <v>14</v>
      </c>
      <c r="D142" s="364" t="s">
        <v>253</v>
      </c>
      <c r="E142" s="366"/>
      <c r="F142" s="367"/>
    </row>
    <row r="143" spans="1:6" ht="15.75" thickBot="1">
      <c r="A143" s="374"/>
      <c r="B143" s="395" t="s">
        <v>254</v>
      </c>
      <c r="C143" s="374" t="s">
        <v>237</v>
      </c>
      <c r="D143" s="376" t="s">
        <v>255</v>
      </c>
      <c r="E143" s="396"/>
      <c r="F143" s="403"/>
    </row>
    <row r="144" spans="1:6" ht="15.75" thickBot="1">
      <c r="A144" s="355"/>
      <c r="B144" s="356"/>
      <c r="C144" s="356"/>
      <c r="D144" s="487"/>
      <c r="E144" s="358"/>
      <c r="F144" s="359"/>
    </row>
    <row r="145" spans="1:6" ht="15.75" thickBot="1">
      <c r="A145" s="497">
        <v>72</v>
      </c>
      <c r="B145" s="498" t="s">
        <v>256</v>
      </c>
      <c r="C145" s="499" t="s">
        <v>14</v>
      </c>
      <c r="D145" s="500" t="s">
        <v>257</v>
      </c>
      <c r="E145" s="501" t="s">
        <v>3</v>
      </c>
      <c r="F145" s="502"/>
    </row>
    <row r="146" spans="1:6" ht="15.75" thickBot="1">
      <c r="A146" s="355"/>
      <c r="B146" s="356"/>
      <c r="C146" s="356"/>
      <c r="D146" s="356"/>
      <c r="E146" s="358"/>
      <c r="F146" s="359"/>
    </row>
    <row r="147" spans="1:6" ht="15.75" thickBot="1">
      <c r="A147" s="499">
        <v>70</v>
      </c>
      <c r="B147" s="30" t="s">
        <v>258</v>
      </c>
      <c r="C147" s="499" t="s">
        <v>112</v>
      </c>
      <c r="D147" s="500" t="s">
        <v>259</v>
      </c>
      <c r="E147" s="503"/>
      <c r="F147" s="502"/>
    </row>
    <row r="148" spans="1:6" ht="15.75" thickBot="1">
      <c r="A148" s="355"/>
      <c r="B148" s="356"/>
      <c r="C148" s="356"/>
      <c r="D148" s="487"/>
      <c r="E148" s="358"/>
      <c r="F148" s="359"/>
    </row>
    <row r="149" spans="1:6">
      <c r="A149" s="360">
        <v>200</v>
      </c>
      <c r="B149" s="392" t="s">
        <v>260</v>
      </c>
      <c r="C149" s="360" t="s">
        <v>261</v>
      </c>
      <c r="D149" s="361" t="s">
        <v>262</v>
      </c>
      <c r="E149" s="406"/>
      <c r="F149" s="504"/>
    </row>
    <row r="150" spans="1:6">
      <c r="A150" s="363">
        <v>100</v>
      </c>
      <c r="B150" s="338" t="s">
        <v>263</v>
      </c>
      <c r="C150" s="363" t="s">
        <v>97</v>
      </c>
      <c r="D150" s="364" t="s">
        <v>264</v>
      </c>
      <c r="E150" s="366"/>
      <c r="F150" s="366"/>
    </row>
    <row r="151" spans="1:6">
      <c r="A151" s="363"/>
      <c r="B151" s="338"/>
      <c r="C151" s="363" t="s">
        <v>265</v>
      </c>
      <c r="D151" s="364" t="s">
        <v>266</v>
      </c>
      <c r="E151" s="366"/>
      <c r="F151" s="366"/>
    </row>
    <row r="152" spans="1:6">
      <c r="A152" s="363">
        <v>64</v>
      </c>
      <c r="B152" s="338" t="s">
        <v>267</v>
      </c>
      <c r="C152" s="363" t="s">
        <v>268</v>
      </c>
      <c r="D152" s="364" t="s">
        <v>269</v>
      </c>
      <c r="E152" s="366"/>
      <c r="F152" s="367"/>
    </row>
    <row r="153" spans="1:6" ht="15.75" thickBot="1">
      <c r="A153" s="374">
        <v>64</v>
      </c>
      <c r="B153" s="395" t="s">
        <v>270</v>
      </c>
      <c r="C153" s="374" t="s">
        <v>271</v>
      </c>
      <c r="D153" s="376" t="s">
        <v>269</v>
      </c>
      <c r="E153" s="396"/>
      <c r="F153" s="505"/>
    </row>
    <row r="154" spans="1:6" ht="15.75" thickBot="1">
      <c r="A154" s="355"/>
      <c r="B154" s="356"/>
      <c r="C154" s="356"/>
      <c r="D154" s="506" t="s">
        <v>3</v>
      </c>
      <c r="E154" s="358"/>
      <c r="F154" s="359"/>
    </row>
    <row r="155" spans="1:6">
      <c r="A155" s="360">
        <v>200</v>
      </c>
      <c r="B155" s="392" t="s">
        <v>272</v>
      </c>
      <c r="C155" s="360" t="s">
        <v>261</v>
      </c>
      <c r="D155" s="361" t="s">
        <v>273</v>
      </c>
      <c r="E155" s="406"/>
      <c r="F155" s="406"/>
    </row>
    <row r="156" spans="1:6">
      <c r="A156" s="363">
        <v>70</v>
      </c>
      <c r="B156" s="338" t="s">
        <v>274</v>
      </c>
      <c r="C156" s="363" t="s">
        <v>212</v>
      </c>
      <c r="D156" s="364" t="s">
        <v>275</v>
      </c>
      <c r="E156" s="366"/>
      <c r="F156" s="366"/>
    </row>
    <row r="157" spans="1:6">
      <c r="A157" s="363"/>
      <c r="B157" s="338" t="s">
        <v>276</v>
      </c>
      <c r="C157" s="363" t="s">
        <v>212</v>
      </c>
      <c r="D157" s="364" t="s">
        <v>277</v>
      </c>
      <c r="E157" s="366"/>
      <c r="F157" s="366"/>
    </row>
    <row r="158" spans="1:6">
      <c r="A158" s="363"/>
      <c r="B158" s="338" t="s">
        <v>278</v>
      </c>
      <c r="C158" s="363" t="s">
        <v>265</v>
      </c>
      <c r="D158" s="364" t="s">
        <v>279</v>
      </c>
      <c r="E158" s="366"/>
      <c r="F158" s="366"/>
    </row>
    <row r="159" spans="1:6">
      <c r="A159" s="363"/>
      <c r="B159" s="338" t="s">
        <v>280</v>
      </c>
      <c r="C159" s="363" t="s">
        <v>212</v>
      </c>
      <c r="D159" s="364" t="s">
        <v>281</v>
      </c>
      <c r="E159" s="366"/>
      <c r="F159" s="366"/>
    </row>
    <row r="160" spans="1:6">
      <c r="A160" s="363"/>
      <c r="B160" s="338" t="s">
        <v>282</v>
      </c>
      <c r="C160" s="363" t="s">
        <v>283</v>
      </c>
      <c r="D160" s="364" t="s">
        <v>284</v>
      </c>
      <c r="E160" s="366"/>
      <c r="F160" s="366"/>
    </row>
    <row r="161" spans="1:6">
      <c r="A161" s="363"/>
      <c r="B161" s="338" t="s">
        <v>285</v>
      </c>
      <c r="C161" s="363" t="s">
        <v>286</v>
      </c>
      <c r="D161" s="364" t="s">
        <v>284</v>
      </c>
      <c r="E161" s="366"/>
      <c r="F161" s="366"/>
    </row>
    <row r="162" spans="1:6" ht="15.75" thickBot="1">
      <c r="A162" s="374"/>
      <c r="B162" s="395" t="s">
        <v>287</v>
      </c>
      <c r="C162" s="374" t="s">
        <v>283</v>
      </c>
      <c r="D162" s="376" t="s">
        <v>288</v>
      </c>
      <c r="E162" s="396"/>
      <c r="F162" s="396"/>
    </row>
    <row r="163" spans="1:6" ht="15.75" thickBot="1">
      <c r="A163" s="355"/>
      <c r="B163" s="356"/>
      <c r="C163" s="356"/>
      <c r="D163" s="487"/>
      <c r="E163" s="358"/>
      <c r="F163" s="359"/>
    </row>
    <row r="164" spans="1:6">
      <c r="A164" s="360" t="s">
        <v>241</v>
      </c>
      <c r="B164" s="392" t="s">
        <v>289</v>
      </c>
      <c r="C164" s="360" t="s">
        <v>60</v>
      </c>
      <c r="D164" s="361" t="s">
        <v>290</v>
      </c>
      <c r="E164" s="406"/>
      <c r="F164" s="387"/>
    </row>
    <row r="165" spans="1:6">
      <c r="A165" s="363"/>
      <c r="B165" s="338" t="s">
        <v>291</v>
      </c>
      <c r="C165" s="363" t="s">
        <v>292</v>
      </c>
      <c r="D165" s="364" t="s">
        <v>293</v>
      </c>
      <c r="E165" s="366"/>
      <c r="F165" s="367"/>
    </row>
    <row r="166" spans="1:6">
      <c r="A166" s="363"/>
      <c r="B166" s="338" t="s">
        <v>294</v>
      </c>
      <c r="C166" s="363" t="s">
        <v>60</v>
      </c>
      <c r="D166" s="364" t="s">
        <v>295</v>
      </c>
      <c r="E166" s="366"/>
      <c r="F166" s="367"/>
    </row>
    <row r="167" spans="1:6" ht="15.75" thickBot="1">
      <c r="A167" s="374"/>
      <c r="B167" s="395" t="s">
        <v>296</v>
      </c>
      <c r="C167" s="374" t="s">
        <v>60</v>
      </c>
      <c r="D167" s="376" t="s">
        <v>297</v>
      </c>
      <c r="E167" s="396"/>
      <c r="F167" s="403"/>
    </row>
    <row r="168" spans="1:6" ht="15.75" thickBot="1">
      <c r="A168" s="355"/>
      <c r="B168" s="356"/>
      <c r="C168" s="356"/>
      <c r="D168" s="487"/>
      <c r="E168" s="358"/>
      <c r="F168" s="359"/>
    </row>
    <row r="169" spans="1:6">
      <c r="A169" s="360" t="s">
        <v>241</v>
      </c>
      <c r="B169" s="392" t="s">
        <v>298</v>
      </c>
      <c r="C169" s="360" t="s">
        <v>60</v>
      </c>
      <c r="D169" s="361" t="s">
        <v>299</v>
      </c>
      <c r="E169" s="406"/>
      <c r="F169" s="387"/>
    </row>
    <row r="170" spans="1:6">
      <c r="A170" s="363" t="s">
        <v>241</v>
      </c>
      <c r="B170" s="338" t="s">
        <v>300</v>
      </c>
      <c r="C170" s="363" t="s">
        <v>60</v>
      </c>
      <c r="D170" s="364" t="s">
        <v>301</v>
      </c>
      <c r="E170" s="366"/>
      <c r="F170" s="367"/>
    </row>
    <row r="171" spans="1:6">
      <c r="A171" s="363"/>
      <c r="B171" s="338" t="s">
        <v>302</v>
      </c>
      <c r="C171" s="363" t="s">
        <v>97</v>
      </c>
      <c r="D171" s="364" t="s">
        <v>303</v>
      </c>
      <c r="E171" s="366"/>
      <c r="F171" s="367"/>
    </row>
    <row r="172" spans="1:6" ht="15.75" thickBot="1">
      <c r="A172" s="374"/>
      <c r="B172" s="395" t="s">
        <v>304</v>
      </c>
      <c r="C172" s="374" t="s">
        <v>97</v>
      </c>
      <c r="D172" s="376" t="s">
        <v>305</v>
      </c>
      <c r="E172" s="396"/>
      <c r="F172" s="403"/>
    </row>
    <row r="173" spans="1:6" ht="15.75" thickBot="1">
      <c r="A173" s="355"/>
      <c r="B173" s="356"/>
      <c r="C173" s="356"/>
      <c r="D173" s="487"/>
      <c r="E173" s="358"/>
      <c r="F173" s="359"/>
    </row>
    <row r="174" spans="1:6">
      <c r="A174" s="360" t="s">
        <v>241</v>
      </c>
      <c r="B174" s="392" t="s">
        <v>306</v>
      </c>
      <c r="C174" s="360" t="s">
        <v>60</v>
      </c>
      <c r="D174" s="361" t="s">
        <v>307</v>
      </c>
      <c r="E174" s="507" t="s">
        <v>3</v>
      </c>
      <c r="F174" s="387"/>
    </row>
    <row r="175" spans="1:6">
      <c r="A175" s="363" t="s">
        <v>241</v>
      </c>
      <c r="B175" s="338" t="s">
        <v>308</v>
      </c>
      <c r="C175" s="363" t="s">
        <v>60</v>
      </c>
      <c r="D175" s="364" t="s">
        <v>309</v>
      </c>
      <c r="E175" s="508" t="s">
        <v>3</v>
      </c>
      <c r="F175" s="367"/>
    </row>
    <row r="176" spans="1:6">
      <c r="A176" s="363" t="s">
        <v>241</v>
      </c>
      <c r="B176" s="338" t="s">
        <v>310</v>
      </c>
      <c r="C176" s="363" t="s">
        <v>60</v>
      </c>
      <c r="D176" s="364" t="s">
        <v>311</v>
      </c>
      <c r="E176" s="508" t="s">
        <v>3</v>
      </c>
      <c r="F176" s="367"/>
    </row>
    <row r="177" spans="1:6">
      <c r="A177" s="363">
        <v>80</v>
      </c>
      <c r="B177" s="338" t="s">
        <v>312</v>
      </c>
      <c r="C177" s="363" t="s">
        <v>14</v>
      </c>
      <c r="D177" s="364" t="s">
        <v>313</v>
      </c>
      <c r="E177" s="508" t="s">
        <v>3</v>
      </c>
      <c r="F177" s="367"/>
    </row>
    <row r="178" spans="1:6">
      <c r="A178" s="363">
        <v>80</v>
      </c>
      <c r="B178" s="338" t="s">
        <v>314</v>
      </c>
      <c r="C178" s="363" t="s">
        <v>14</v>
      </c>
      <c r="D178" s="364" t="s">
        <v>315</v>
      </c>
      <c r="E178" s="508" t="s">
        <v>3</v>
      </c>
      <c r="F178" s="367"/>
    </row>
    <row r="179" spans="1:6">
      <c r="A179" s="363">
        <v>80</v>
      </c>
      <c r="B179" s="338" t="s">
        <v>316</v>
      </c>
      <c r="C179" s="363" t="s">
        <v>14</v>
      </c>
      <c r="D179" s="364" t="s">
        <v>317</v>
      </c>
      <c r="E179" s="508" t="s">
        <v>3</v>
      </c>
      <c r="F179" s="367"/>
    </row>
    <row r="180" spans="1:6">
      <c r="A180" s="363" t="s">
        <v>241</v>
      </c>
      <c r="B180" s="338" t="s">
        <v>318</v>
      </c>
      <c r="C180" s="363" t="s">
        <v>60</v>
      </c>
      <c r="D180" s="364" t="s">
        <v>319</v>
      </c>
      <c r="E180" s="508" t="s">
        <v>3</v>
      </c>
      <c r="F180" s="367"/>
    </row>
    <row r="181" spans="1:6">
      <c r="A181" s="363" t="s">
        <v>241</v>
      </c>
      <c r="B181" s="338" t="s">
        <v>320</v>
      </c>
      <c r="C181" s="363" t="s">
        <v>60</v>
      </c>
      <c r="D181" s="364" t="s">
        <v>321</v>
      </c>
      <c r="E181" s="508" t="s">
        <v>3</v>
      </c>
      <c r="F181" s="367"/>
    </row>
    <row r="182" spans="1:6">
      <c r="A182" s="363">
        <v>80</v>
      </c>
      <c r="B182" s="338" t="s">
        <v>322</v>
      </c>
      <c r="C182" s="363" t="s">
        <v>14</v>
      </c>
      <c r="D182" s="364" t="s">
        <v>323</v>
      </c>
      <c r="E182" s="508" t="s">
        <v>3</v>
      </c>
      <c r="F182" s="367"/>
    </row>
    <row r="183" spans="1:6">
      <c r="A183" s="363" t="s">
        <v>241</v>
      </c>
      <c r="B183" s="338" t="s">
        <v>324</v>
      </c>
      <c r="C183" s="363" t="s">
        <v>60</v>
      </c>
      <c r="D183" s="364" t="s">
        <v>325</v>
      </c>
      <c r="E183" s="508" t="s">
        <v>3</v>
      </c>
      <c r="F183" s="367"/>
    </row>
    <row r="184" spans="1:6">
      <c r="A184" s="363" t="s">
        <v>241</v>
      </c>
      <c r="B184" s="338" t="s">
        <v>326</v>
      </c>
      <c r="C184" s="363" t="s">
        <v>60</v>
      </c>
      <c r="D184" s="364" t="s">
        <v>327</v>
      </c>
      <c r="E184" s="508" t="s">
        <v>3</v>
      </c>
      <c r="F184" s="367"/>
    </row>
    <row r="185" spans="1:6" ht="15.75" thickBot="1">
      <c r="A185" s="374">
        <v>80</v>
      </c>
      <c r="B185" s="395" t="s">
        <v>328</v>
      </c>
      <c r="C185" s="374" t="s">
        <v>14</v>
      </c>
      <c r="D185" s="376" t="s">
        <v>329</v>
      </c>
      <c r="E185" s="509" t="s">
        <v>3</v>
      </c>
      <c r="F185" s="403"/>
    </row>
    <row r="186" spans="1:6" ht="15.75" thickBot="1">
      <c r="A186" s="355"/>
      <c r="B186" s="356"/>
      <c r="C186" s="356"/>
      <c r="D186" s="510" t="s">
        <v>3</v>
      </c>
      <c r="E186" s="358"/>
      <c r="F186" s="359"/>
    </row>
    <row r="187" spans="1:6">
      <c r="A187" s="360">
        <v>80</v>
      </c>
      <c r="B187" s="392" t="s">
        <v>330</v>
      </c>
      <c r="C187" s="360" t="s">
        <v>14</v>
      </c>
      <c r="D187" s="511" t="s">
        <v>331</v>
      </c>
      <c r="E187" s="512" t="s">
        <v>3</v>
      </c>
      <c r="F187" s="513" t="s">
        <v>3</v>
      </c>
    </row>
    <row r="188" spans="1:6">
      <c r="A188" s="363">
        <v>80</v>
      </c>
      <c r="B188" s="338" t="s">
        <v>332</v>
      </c>
      <c r="C188" s="363" t="s">
        <v>41</v>
      </c>
      <c r="D188" s="364" t="s">
        <v>333</v>
      </c>
      <c r="E188" s="366"/>
      <c r="F188" s="514" t="s">
        <v>3</v>
      </c>
    </row>
    <row r="189" spans="1:6">
      <c r="A189" s="363">
        <v>80</v>
      </c>
      <c r="B189" s="338" t="s">
        <v>334</v>
      </c>
      <c r="C189" s="363" t="s">
        <v>14</v>
      </c>
      <c r="D189" s="364" t="s">
        <v>335</v>
      </c>
      <c r="E189" s="366"/>
      <c r="F189" s="514" t="s">
        <v>3</v>
      </c>
    </row>
    <row r="190" spans="1:6">
      <c r="A190" s="363">
        <v>80</v>
      </c>
      <c r="B190" s="338" t="s">
        <v>336</v>
      </c>
      <c r="C190" s="363" t="s">
        <v>14</v>
      </c>
      <c r="D190" s="364" t="s">
        <v>337</v>
      </c>
      <c r="E190" s="366"/>
      <c r="F190" s="514" t="s">
        <v>3</v>
      </c>
    </row>
    <row r="191" spans="1:6">
      <c r="A191" s="363">
        <v>80</v>
      </c>
      <c r="B191" s="338" t="s">
        <v>338</v>
      </c>
      <c r="C191" s="363" t="s">
        <v>97</v>
      </c>
      <c r="D191" s="364" t="s">
        <v>339</v>
      </c>
      <c r="E191" s="366"/>
      <c r="F191" s="514" t="s">
        <v>3</v>
      </c>
    </row>
    <row r="192" spans="1:6">
      <c r="A192" s="363">
        <v>80</v>
      </c>
      <c r="B192" s="338" t="s">
        <v>340</v>
      </c>
      <c r="C192" s="363" t="s">
        <v>14</v>
      </c>
      <c r="D192" s="364" t="s">
        <v>341</v>
      </c>
      <c r="E192" s="366"/>
      <c r="F192" s="514" t="s">
        <v>3</v>
      </c>
    </row>
    <row r="193" spans="1:6" ht="15.75" thickBot="1">
      <c r="A193" s="374"/>
      <c r="B193" s="395" t="s">
        <v>342</v>
      </c>
      <c r="C193" s="374" t="s">
        <v>212</v>
      </c>
      <c r="D193" s="376" t="s">
        <v>343</v>
      </c>
      <c r="E193" s="396"/>
      <c r="F193" s="515" t="s">
        <v>3</v>
      </c>
    </row>
    <row r="194" spans="1:6" ht="15.75" thickBot="1">
      <c r="A194" s="355"/>
      <c r="B194" s="356"/>
      <c r="C194" s="356"/>
      <c r="D194" s="487"/>
      <c r="E194" s="358"/>
      <c r="F194" s="359"/>
    </row>
    <row r="195" spans="1:6">
      <c r="A195" s="438">
        <v>70</v>
      </c>
      <c r="B195" s="516" t="s">
        <v>344</v>
      </c>
      <c r="C195" s="438" t="s">
        <v>128</v>
      </c>
      <c r="D195" s="517" t="s">
        <v>345</v>
      </c>
      <c r="E195" s="518" t="s">
        <v>3</v>
      </c>
      <c r="F195" s="518" t="s">
        <v>3</v>
      </c>
    </row>
    <row r="196" spans="1:6">
      <c r="A196" s="363" t="s">
        <v>346</v>
      </c>
      <c r="B196" s="338" t="s">
        <v>347</v>
      </c>
      <c r="C196" s="363" t="s">
        <v>128</v>
      </c>
      <c r="D196" s="364" t="s">
        <v>348</v>
      </c>
      <c r="E196" s="519" t="s">
        <v>3</v>
      </c>
      <c r="F196" s="519" t="s">
        <v>3</v>
      </c>
    </row>
    <row r="197" spans="1:6">
      <c r="A197" s="363">
        <v>70</v>
      </c>
      <c r="B197" s="338" t="s">
        <v>349</v>
      </c>
      <c r="C197" s="363" t="s">
        <v>112</v>
      </c>
      <c r="D197" s="364" t="s">
        <v>350</v>
      </c>
      <c r="E197" s="519" t="s">
        <v>3</v>
      </c>
      <c r="F197" s="519" t="s">
        <v>3</v>
      </c>
    </row>
    <row r="198" spans="1:6">
      <c r="A198" s="363" t="s">
        <v>346</v>
      </c>
      <c r="B198" s="338" t="s">
        <v>351</v>
      </c>
      <c r="C198" s="363" t="s">
        <v>112</v>
      </c>
      <c r="D198" s="364" t="s">
        <v>352</v>
      </c>
      <c r="E198" s="519" t="s">
        <v>3</v>
      </c>
      <c r="F198" s="519" t="s">
        <v>3</v>
      </c>
    </row>
    <row r="199" spans="1:6">
      <c r="A199" s="363">
        <v>70</v>
      </c>
      <c r="B199" s="338" t="s">
        <v>353</v>
      </c>
      <c r="C199" s="363" t="s">
        <v>112</v>
      </c>
      <c r="D199" s="393" t="s">
        <v>354</v>
      </c>
      <c r="E199" s="519" t="s">
        <v>3</v>
      </c>
      <c r="F199" s="519" t="s">
        <v>3</v>
      </c>
    </row>
    <row r="200" spans="1:6">
      <c r="A200" s="363">
        <v>70</v>
      </c>
      <c r="B200" s="338" t="s">
        <v>355</v>
      </c>
      <c r="C200" s="363" t="s">
        <v>112</v>
      </c>
      <c r="D200" s="364" t="s">
        <v>356</v>
      </c>
      <c r="E200" s="519" t="s">
        <v>3</v>
      </c>
      <c r="F200" s="519" t="s">
        <v>3</v>
      </c>
    </row>
    <row r="201" spans="1:6">
      <c r="A201" s="363">
        <v>70</v>
      </c>
      <c r="B201" s="338" t="s">
        <v>357</v>
      </c>
      <c r="C201" s="363" t="s">
        <v>112</v>
      </c>
      <c r="D201" s="364" t="s">
        <v>358</v>
      </c>
      <c r="E201" s="519" t="s">
        <v>3</v>
      </c>
      <c r="F201" s="519" t="s">
        <v>3</v>
      </c>
    </row>
    <row r="202" spans="1:6">
      <c r="A202" s="363">
        <v>70</v>
      </c>
      <c r="B202" s="338" t="s">
        <v>359</v>
      </c>
      <c r="C202" s="363" t="s">
        <v>112</v>
      </c>
      <c r="D202" s="364" t="s">
        <v>360</v>
      </c>
      <c r="E202" s="519" t="s">
        <v>3</v>
      </c>
      <c r="F202" s="519" t="s">
        <v>3</v>
      </c>
    </row>
    <row r="203" spans="1:6" ht="15.75" thickBot="1">
      <c r="A203" s="374">
        <v>70</v>
      </c>
      <c r="B203" s="520" t="s">
        <v>361</v>
      </c>
      <c r="C203" s="374" t="s">
        <v>112</v>
      </c>
      <c r="D203" s="376" t="s">
        <v>362</v>
      </c>
      <c r="E203" s="521" t="s">
        <v>3</v>
      </c>
      <c r="F203" s="521" t="s">
        <v>3</v>
      </c>
    </row>
    <row r="204" spans="1:6" ht="15.75" thickBot="1">
      <c r="A204" s="355"/>
      <c r="B204" s="356"/>
      <c r="C204" s="356"/>
      <c r="D204" s="487"/>
      <c r="E204" s="358"/>
      <c r="F204" s="359"/>
    </row>
    <row r="205" spans="1:6">
      <c r="A205" s="360">
        <v>70</v>
      </c>
      <c r="B205" s="392" t="s">
        <v>363</v>
      </c>
      <c r="C205" s="360" t="s">
        <v>97</v>
      </c>
      <c r="D205" s="361" t="s">
        <v>364</v>
      </c>
      <c r="E205" s="483"/>
      <c r="F205" s="496"/>
    </row>
    <row r="206" spans="1:6" ht="15.75" thickBot="1">
      <c r="A206" s="430"/>
      <c r="B206" s="522" t="s">
        <v>365</v>
      </c>
      <c r="C206" s="430" t="s">
        <v>237</v>
      </c>
      <c r="D206" s="523" t="s">
        <v>366</v>
      </c>
      <c r="E206" s="524"/>
      <c r="F206" s="525"/>
    </row>
    <row r="207" spans="1:6" ht="15.75" thickBot="1">
      <c r="A207" s="404"/>
      <c r="B207" s="443"/>
      <c r="C207" s="444"/>
      <c r="D207" s="469"/>
      <c r="E207" s="526"/>
      <c r="F207" s="527"/>
    </row>
    <row r="208" spans="1:6" ht="19.5" thickBot="1">
      <c r="A208" s="528"/>
      <c r="B208" s="25"/>
      <c r="C208" s="529"/>
      <c r="D208" s="530" t="s">
        <v>367</v>
      </c>
      <c r="E208" s="531"/>
      <c r="F208" s="532"/>
    </row>
    <row r="209" spans="1:6" ht="15.75" thickBot="1">
      <c r="A209" s="533"/>
      <c r="B209" s="534"/>
      <c r="C209" s="453"/>
      <c r="D209" s="469"/>
      <c r="E209" s="535"/>
      <c r="F209" s="536"/>
    </row>
    <row r="210" spans="1:6" ht="15.75" thickBot="1">
      <c r="A210" s="473"/>
      <c r="B210" s="474"/>
      <c r="C210" s="475"/>
      <c r="D210" s="476" t="s">
        <v>368</v>
      </c>
      <c r="E210" s="477"/>
      <c r="F210" s="478"/>
    </row>
    <row r="211" spans="1:6">
      <c r="A211" s="537"/>
      <c r="B211" s="538"/>
      <c r="C211" s="438" t="s">
        <v>60</v>
      </c>
      <c r="D211" s="539" t="s">
        <v>369</v>
      </c>
      <c r="E211" s="540"/>
      <c r="F211" s="541"/>
    </row>
    <row r="212" spans="1:6">
      <c r="A212" s="363"/>
      <c r="B212" s="338" t="s">
        <v>370</v>
      </c>
      <c r="C212" s="363" t="s">
        <v>60</v>
      </c>
      <c r="D212" s="542" t="s">
        <v>371</v>
      </c>
      <c r="E212" s="543"/>
      <c r="F212" s="367" t="s">
        <v>3</v>
      </c>
    </row>
    <row r="213" spans="1:6">
      <c r="A213" s="363"/>
      <c r="B213" s="338" t="s">
        <v>372</v>
      </c>
      <c r="C213" s="363" t="s">
        <v>97</v>
      </c>
      <c r="D213" s="542" t="s">
        <v>373</v>
      </c>
      <c r="E213" s="544" t="s">
        <v>3</v>
      </c>
      <c r="F213" s="545" t="s">
        <v>3</v>
      </c>
    </row>
    <row r="214" spans="1:6">
      <c r="A214" s="363"/>
      <c r="B214" s="338" t="s">
        <v>374</v>
      </c>
      <c r="C214" s="363" t="s">
        <v>97</v>
      </c>
      <c r="D214" s="542" t="s">
        <v>375</v>
      </c>
      <c r="E214" s="543"/>
      <c r="F214" s="367"/>
    </row>
    <row r="215" spans="1:6" ht="15.75" thickBot="1">
      <c r="A215" s="374"/>
      <c r="B215" s="395" t="s">
        <v>376</v>
      </c>
      <c r="C215" s="374" t="s">
        <v>97</v>
      </c>
      <c r="D215" s="546" t="s">
        <v>377</v>
      </c>
      <c r="E215" s="547"/>
      <c r="F215" s="403"/>
    </row>
    <row r="216" spans="1:6" ht="15.75" thickBot="1">
      <c r="A216" s="355"/>
      <c r="B216" s="356"/>
      <c r="C216" s="356"/>
      <c r="D216" s="487"/>
      <c r="E216" s="358"/>
      <c r="F216" s="359"/>
    </row>
    <row r="217" spans="1:6">
      <c r="A217" s="438"/>
      <c r="B217" s="392" t="s">
        <v>378</v>
      </c>
      <c r="C217" s="438" t="s">
        <v>60</v>
      </c>
      <c r="D217" s="361" t="s">
        <v>379</v>
      </c>
      <c r="E217" s="548"/>
      <c r="F217" s="541"/>
    </row>
    <row r="218" spans="1:6">
      <c r="A218" s="363">
        <v>70</v>
      </c>
      <c r="B218" s="338" t="s">
        <v>380</v>
      </c>
      <c r="C218" s="363" t="s">
        <v>97</v>
      </c>
      <c r="D218" s="364" t="s">
        <v>381</v>
      </c>
      <c r="E218" s="366"/>
      <c r="F218" s="367"/>
    </row>
    <row r="219" spans="1:6" ht="15.75" thickBot="1">
      <c r="A219" s="374">
        <v>70</v>
      </c>
      <c r="B219" s="395" t="s">
        <v>382</v>
      </c>
      <c r="C219" s="374" t="s">
        <v>97</v>
      </c>
      <c r="D219" s="376" t="s">
        <v>383</v>
      </c>
      <c r="E219" s="396"/>
      <c r="F219" s="403"/>
    </row>
    <row r="220" spans="1:6" ht="15.75" thickBot="1">
      <c r="A220" s="355"/>
      <c r="B220" s="356"/>
      <c r="C220" s="356"/>
      <c r="D220" s="487"/>
      <c r="E220" s="358"/>
      <c r="F220" s="359"/>
    </row>
    <row r="221" spans="1:6">
      <c r="A221" s="438"/>
      <c r="B221" s="549" t="s">
        <v>384</v>
      </c>
      <c r="C221" s="550" t="s">
        <v>140</v>
      </c>
      <c r="D221" s="551" t="s">
        <v>385</v>
      </c>
      <c r="E221" s="552"/>
      <c r="F221" s="553"/>
    </row>
    <row r="222" spans="1:6" ht="15.75" thickBot="1">
      <c r="A222" s="374"/>
      <c r="B222" s="381" t="s">
        <v>386</v>
      </c>
      <c r="C222" s="554" t="s">
        <v>140</v>
      </c>
      <c r="D222" s="555" t="s">
        <v>387</v>
      </c>
      <c r="E222" s="556"/>
      <c r="F222" s="557"/>
    </row>
    <row r="223" spans="1:6" ht="15.75" thickBot="1">
      <c r="A223" s="355"/>
      <c r="B223" s="356"/>
      <c r="C223" s="356"/>
      <c r="D223" s="487"/>
      <c r="E223" s="358"/>
      <c r="F223" s="359"/>
    </row>
    <row r="224" spans="1:6">
      <c r="A224" s="558"/>
      <c r="B224" s="559" t="s">
        <v>388</v>
      </c>
      <c r="C224" s="560" t="s">
        <v>389</v>
      </c>
      <c r="D224" s="561" t="s">
        <v>390</v>
      </c>
      <c r="E224" s="562"/>
      <c r="F224" s="563"/>
    </row>
    <row r="225" spans="1:6">
      <c r="A225" s="564"/>
      <c r="B225" s="337" t="s">
        <v>391</v>
      </c>
      <c r="C225" s="407" t="s">
        <v>389</v>
      </c>
      <c r="D225" s="565" t="s">
        <v>392</v>
      </c>
      <c r="E225" s="566"/>
      <c r="F225" s="441"/>
    </row>
    <row r="226" spans="1:6" ht="15.75" thickBot="1">
      <c r="A226" s="567"/>
      <c r="B226" s="568"/>
      <c r="C226" s="569" t="s">
        <v>97</v>
      </c>
      <c r="D226" s="570" t="s">
        <v>393</v>
      </c>
      <c r="E226" s="571"/>
      <c r="F226" s="572"/>
    </row>
    <row r="227" spans="1:6" ht="15.75" thickBot="1">
      <c r="A227" s="355"/>
      <c r="B227" s="356"/>
      <c r="C227" s="356"/>
      <c r="D227" s="487"/>
      <c r="E227" s="358"/>
      <c r="F227" s="359"/>
    </row>
    <row r="228" spans="1:6">
      <c r="A228" s="558"/>
      <c r="B228" s="573" t="s">
        <v>394</v>
      </c>
      <c r="C228" s="438" t="s">
        <v>21</v>
      </c>
      <c r="D228" s="574" t="s">
        <v>395</v>
      </c>
      <c r="E228" s="575" t="s">
        <v>3</v>
      </c>
      <c r="F228" s="575" t="s">
        <v>3</v>
      </c>
    </row>
    <row r="229" spans="1:6" ht="15.75" thickBot="1">
      <c r="A229" s="567"/>
      <c r="B229" s="576" t="s">
        <v>396</v>
      </c>
      <c r="C229" s="430" t="s">
        <v>21</v>
      </c>
      <c r="D229" s="577" t="s">
        <v>397</v>
      </c>
      <c r="E229" s="578" t="s">
        <v>3</v>
      </c>
      <c r="F229" s="578" t="s">
        <v>3</v>
      </c>
    </row>
    <row r="230" spans="1:6" ht="15.75" thickBot="1">
      <c r="A230" s="355"/>
      <c r="B230" s="356"/>
      <c r="C230" s="356"/>
      <c r="D230" s="487"/>
      <c r="E230" s="358"/>
      <c r="F230" s="359"/>
    </row>
    <row r="231" spans="1:6">
      <c r="A231" s="558" t="s">
        <v>398</v>
      </c>
      <c r="B231" s="579"/>
      <c r="C231" s="560" t="s">
        <v>399</v>
      </c>
      <c r="D231" s="580" t="s">
        <v>400</v>
      </c>
      <c r="E231" s="574"/>
      <c r="F231" s="581" t="s">
        <v>3</v>
      </c>
    </row>
    <row r="232" spans="1:6" ht="15.75" thickBot="1">
      <c r="A232" s="567" t="s">
        <v>401</v>
      </c>
      <c r="B232" s="582"/>
      <c r="C232" s="569" t="s">
        <v>402</v>
      </c>
      <c r="D232" s="583" t="s">
        <v>403</v>
      </c>
      <c r="E232" s="577"/>
      <c r="F232" s="584" t="s">
        <v>3</v>
      </c>
    </row>
    <row r="237" spans="1:6" ht="15.75" thickBot="1"/>
    <row r="238" spans="1:6" ht="19.5" thickBot="1">
      <c r="A238" s="462"/>
      <c r="B238" s="463"/>
      <c r="C238" s="464"/>
      <c r="D238" s="611" t="s">
        <v>404</v>
      </c>
      <c r="E238" s="466"/>
      <c r="F238" s="467"/>
    </row>
    <row r="239" spans="1:6" ht="18.75">
      <c r="A239" s="500"/>
      <c r="C239" s="500"/>
      <c r="D239" s="449" t="s">
        <v>405</v>
      </c>
      <c r="E239" s="500"/>
      <c r="F239" s="610"/>
    </row>
    <row r="240" spans="1:6">
      <c r="D240" s="25" t="s">
        <v>406</v>
      </c>
    </row>
    <row r="241" spans="4:4">
      <c r="D241" s="25" t="s">
        <v>407</v>
      </c>
    </row>
    <row r="242" spans="4:4">
      <c r="D242" s="25" t="s">
        <v>408</v>
      </c>
    </row>
    <row r="243" spans="4:4">
      <c r="D243" s="25" t="s">
        <v>409</v>
      </c>
    </row>
    <row r="244" spans="4:4">
      <c r="D244" s="25" t="s">
        <v>410</v>
      </c>
    </row>
    <row r="245" spans="4:4">
      <c r="D245" s="25" t="s">
        <v>411</v>
      </c>
    </row>
    <row r="246" spans="4:4">
      <c r="D246" s="25" t="s">
        <v>248</v>
      </c>
    </row>
    <row r="247" spans="4:4">
      <c r="D247" s="25" t="s">
        <v>412</v>
      </c>
    </row>
    <row r="248" spans="4:4">
      <c r="D248" s="25" t="s">
        <v>413</v>
      </c>
    </row>
    <row r="249" spans="4:4">
      <c r="D249" s="25" t="s">
        <v>414</v>
      </c>
    </row>
    <row r="250" spans="4:4">
      <c r="D250" s="25" t="s">
        <v>415</v>
      </c>
    </row>
    <row r="251" spans="4:4">
      <c r="D251" s="25" t="s">
        <v>416</v>
      </c>
    </row>
    <row r="252" spans="4:4">
      <c r="D252" s="25" t="s">
        <v>417</v>
      </c>
    </row>
    <row r="253" spans="4:4">
      <c r="D253" s="25" t="s">
        <v>418</v>
      </c>
    </row>
    <row r="254" spans="4:4">
      <c r="D254" s="25" t="s">
        <v>419</v>
      </c>
    </row>
    <row r="255" spans="4:4">
      <c r="D255" s="25" t="s">
        <v>420</v>
      </c>
    </row>
    <row r="256" spans="4:4">
      <c r="D256" s="25" t="s">
        <v>421</v>
      </c>
    </row>
    <row r="257" spans="4:4">
      <c r="D257" s="25" t="s">
        <v>422</v>
      </c>
    </row>
    <row r="258" spans="4:4">
      <c r="D258" s="25" t="s">
        <v>423</v>
      </c>
    </row>
    <row r="259" spans="4:4">
      <c r="D259" s="25" t="s">
        <v>424</v>
      </c>
    </row>
    <row r="260" spans="4:4">
      <c r="D260" s="25" t="s">
        <v>425</v>
      </c>
    </row>
    <row r="261" spans="4:4">
      <c r="D261" s="25" t="s">
        <v>426</v>
      </c>
    </row>
    <row r="262" spans="4:4">
      <c r="D262" s="25" t="s">
        <v>427</v>
      </c>
    </row>
    <row r="263" spans="4:4">
      <c r="D263" s="25" t="s">
        <v>428</v>
      </c>
    </row>
    <row r="264" spans="4:4">
      <c r="D264" s="25" t="s">
        <v>429</v>
      </c>
    </row>
    <row r="265" spans="4:4">
      <c r="D265" s="25" t="s">
        <v>430</v>
      </c>
    </row>
    <row r="266" spans="4:4">
      <c r="D266" s="25" t="s">
        <v>431</v>
      </c>
    </row>
  </sheetData>
  <sortState xmlns:xlrd2="http://schemas.microsoft.com/office/spreadsheetml/2017/richdata2" ref="D239:D266">
    <sortCondition ref="D240:D266"/>
  </sortState>
  <mergeCells count="4">
    <mergeCell ref="A1:C8"/>
    <mergeCell ref="D1:F4"/>
    <mergeCell ref="D5:F6"/>
    <mergeCell ref="D7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EB16-C6A0-41B9-9766-F2C99D5EFF04}">
  <dimension ref="A4:I165"/>
  <sheetViews>
    <sheetView topLeftCell="A25" workbookViewId="0">
      <selection activeCell="F26" sqref="F26"/>
    </sheetView>
  </sheetViews>
  <sheetFormatPr defaultRowHeight="15"/>
  <cols>
    <col min="1" max="1" width="7.7109375" customWidth="1"/>
    <col min="2" max="2" width="7.42578125" customWidth="1"/>
    <col min="3" max="3" width="34.28515625" style="30" customWidth="1"/>
    <col min="4" max="4" width="29.140625" style="597" customWidth="1"/>
    <col min="5" max="5" width="41" style="30" customWidth="1"/>
    <col min="6" max="8" width="34.28515625" style="30" customWidth="1"/>
    <col min="9" max="9" width="27.42578125" style="30" customWidth="1"/>
  </cols>
  <sheetData>
    <row r="4" spans="1:9">
      <c r="B4" t="s">
        <v>432</v>
      </c>
      <c r="I4" s="30" t="s">
        <v>3</v>
      </c>
    </row>
    <row r="5" spans="1:9">
      <c r="I5" s="30" t="s">
        <v>3</v>
      </c>
    </row>
    <row r="8" spans="1:9" ht="31.5" customHeight="1">
      <c r="A8" s="340"/>
      <c r="B8" s="340"/>
      <c r="C8" s="603" t="s">
        <v>433</v>
      </c>
      <c r="D8" s="603" t="s">
        <v>434</v>
      </c>
      <c r="E8" s="603" t="s">
        <v>435</v>
      </c>
      <c r="F8" s="603" t="s">
        <v>436</v>
      </c>
      <c r="G8" s="603" t="s">
        <v>437</v>
      </c>
      <c r="H8" s="603" t="s">
        <v>438</v>
      </c>
      <c r="I8" s="604" t="s">
        <v>439</v>
      </c>
    </row>
    <row r="9" spans="1:9" ht="28.5" customHeight="1">
      <c r="A9" s="340"/>
      <c r="B9" s="340" t="s">
        <v>440</v>
      </c>
      <c r="C9" s="598" t="s">
        <v>441</v>
      </c>
      <c r="D9" s="598"/>
      <c r="E9" s="598"/>
      <c r="F9" s="598"/>
      <c r="G9" s="598"/>
      <c r="H9" s="598"/>
      <c r="I9" s="340"/>
    </row>
    <row r="10" spans="1:9" ht="28.5" customHeight="1">
      <c r="A10" s="340" t="s">
        <v>442</v>
      </c>
      <c r="B10" s="340"/>
      <c r="C10" s="598" t="s">
        <v>443</v>
      </c>
      <c r="D10" s="602" t="s">
        <v>444</v>
      </c>
      <c r="E10" s="598" t="s">
        <v>445</v>
      </c>
      <c r="F10" s="605" t="s">
        <v>446</v>
      </c>
      <c r="G10" s="598"/>
      <c r="H10" s="605" t="s">
        <v>447</v>
      </c>
      <c r="I10" s="340"/>
    </row>
    <row r="11" spans="1:9" ht="28.5" customHeight="1">
      <c r="A11" s="340"/>
      <c r="B11" s="340" t="s">
        <v>440</v>
      </c>
      <c r="C11" s="598" t="s">
        <v>448</v>
      </c>
      <c r="D11" s="598"/>
      <c r="E11" s="598"/>
      <c r="F11" s="598"/>
      <c r="G11" s="598"/>
      <c r="H11" s="598"/>
      <c r="I11" s="340"/>
    </row>
    <row r="12" spans="1:9" ht="28.5" customHeight="1">
      <c r="A12" s="340" t="s">
        <v>449</v>
      </c>
      <c r="B12" s="340"/>
      <c r="C12" s="598" t="s">
        <v>450</v>
      </c>
      <c r="D12" s="598"/>
      <c r="E12" s="598"/>
      <c r="F12" s="598"/>
      <c r="G12" s="598"/>
      <c r="H12" s="598"/>
      <c r="I12" s="340" t="s">
        <v>451</v>
      </c>
    </row>
    <row r="13" spans="1:9" ht="94.5">
      <c r="A13" s="340"/>
      <c r="B13" s="340" t="s">
        <v>440</v>
      </c>
      <c r="C13" s="598" t="s">
        <v>452</v>
      </c>
      <c r="D13" s="598"/>
      <c r="E13" s="598"/>
      <c r="F13" s="598"/>
      <c r="G13" s="598"/>
      <c r="H13" s="605" t="s">
        <v>453</v>
      </c>
      <c r="I13" s="340"/>
    </row>
    <row r="14" spans="1:9" ht="25.5" customHeight="1">
      <c r="A14" s="340" t="s">
        <v>442</v>
      </c>
      <c r="B14" s="340"/>
      <c r="C14" s="598" t="s">
        <v>454</v>
      </c>
      <c r="D14" s="598"/>
      <c r="E14" s="598"/>
      <c r="F14" s="598"/>
      <c r="G14" s="598"/>
      <c r="H14" s="598"/>
      <c r="I14" s="340"/>
    </row>
    <row r="15" spans="1:9" ht="25.5" customHeight="1">
      <c r="A15" s="340" t="s">
        <v>442</v>
      </c>
      <c r="B15" s="340"/>
      <c r="C15" s="598" t="s">
        <v>455</v>
      </c>
      <c r="D15" s="598"/>
      <c r="E15" s="598"/>
      <c r="F15" s="598"/>
      <c r="G15" s="598"/>
      <c r="H15" s="598"/>
      <c r="I15" s="340" t="s">
        <v>456</v>
      </c>
    </row>
    <row r="16" spans="1:9" ht="47.25">
      <c r="A16" s="340" t="s">
        <v>442</v>
      </c>
      <c r="B16" s="340"/>
      <c r="C16" s="598" t="s">
        <v>457</v>
      </c>
      <c r="D16" s="598" t="s">
        <v>458</v>
      </c>
      <c r="E16" s="602" t="s">
        <v>459</v>
      </c>
      <c r="F16" s="605" t="s">
        <v>460</v>
      </c>
      <c r="G16" s="605" t="s">
        <v>461</v>
      </c>
      <c r="H16" s="605" t="s">
        <v>462</v>
      </c>
      <c r="I16" s="340"/>
    </row>
    <row r="17" spans="1:9" ht="75.75" customHeight="1">
      <c r="A17" s="340" t="s">
        <v>449</v>
      </c>
      <c r="B17" s="340"/>
      <c r="C17" s="598" t="s">
        <v>463</v>
      </c>
      <c r="D17" s="598"/>
      <c r="E17" s="598"/>
      <c r="F17" s="598"/>
      <c r="G17" s="598"/>
      <c r="H17" s="598"/>
      <c r="I17" s="340" t="s">
        <v>451</v>
      </c>
    </row>
    <row r="18" spans="1:9" ht="27.75" customHeight="1">
      <c r="A18" s="340"/>
      <c r="B18" s="340" t="s">
        <v>440</v>
      </c>
      <c r="C18" s="598" t="s">
        <v>464</v>
      </c>
      <c r="D18" s="598"/>
      <c r="E18" s="598"/>
      <c r="F18" s="598"/>
      <c r="G18" s="598"/>
      <c r="H18" s="605" t="s">
        <v>465</v>
      </c>
      <c r="I18" s="340"/>
    </row>
    <row r="19" spans="1:9" ht="141.75">
      <c r="A19" s="340" t="s">
        <v>466</v>
      </c>
      <c r="B19" s="340"/>
      <c r="C19" s="598" t="s">
        <v>467</v>
      </c>
      <c r="D19" s="598" t="s">
        <v>468</v>
      </c>
      <c r="E19" s="598" t="s">
        <v>469</v>
      </c>
      <c r="F19" s="605" t="s">
        <v>470</v>
      </c>
      <c r="G19" s="598" t="s">
        <v>471</v>
      </c>
      <c r="H19" s="605" t="s">
        <v>472</v>
      </c>
      <c r="I19" s="340"/>
    </row>
    <row r="20" spans="1:9" ht="31.5" customHeight="1">
      <c r="A20" s="340" t="s">
        <v>473</v>
      </c>
      <c r="B20" s="340"/>
      <c r="C20" s="598" t="s">
        <v>474</v>
      </c>
      <c r="D20" s="598" t="s">
        <v>475</v>
      </c>
      <c r="E20" s="602" t="s">
        <v>476</v>
      </c>
      <c r="F20" s="605" t="s">
        <v>477</v>
      </c>
      <c r="G20" s="605" t="s">
        <v>478</v>
      </c>
      <c r="H20" s="605" t="s">
        <v>479</v>
      </c>
      <c r="I20" s="340" t="s">
        <v>480</v>
      </c>
    </row>
    <row r="21" spans="1:9" ht="94.5">
      <c r="A21" s="340" t="s">
        <v>442</v>
      </c>
      <c r="B21" s="340"/>
      <c r="C21" s="598" t="s">
        <v>481</v>
      </c>
      <c r="D21" s="598" t="s">
        <v>482</v>
      </c>
      <c r="E21" s="598" t="s">
        <v>483</v>
      </c>
      <c r="F21" s="605" t="s">
        <v>484</v>
      </c>
      <c r="G21" s="598"/>
      <c r="H21" s="605" t="s">
        <v>485</v>
      </c>
      <c r="I21" s="340"/>
    </row>
    <row r="22" spans="1:9" ht="75" customHeight="1">
      <c r="A22" s="340" t="s">
        <v>449</v>
      </c>
      <c r="B22" s="340"/>
      <c r="C22" s="598" t="s">
        <v>486</v>
      </c>
      <c r="D22" s="598" t="s">
        <v>487</v>
      </c>
      <c r="E22" s="598" t="s">
        <v>488</v>
      </c>
      <c r="F22" s="598"/>
      <c r="G22" s="598"/>
      <c r="H22" s="598"/>
      <c r="I22" s="340" t="s">
        <v>451</v>
      </c>
    </row>
    <row r="23" spans="1:9" ht="15.75">
      <c r="A23" s="340" t="s">
        <v>442</v>
      </c>
      <c r="B23" s="340"/>
      <c r="C23" s="598" t="s">
        <v>489</v>
      </c>
      <c r="D23" s="598"/>
      <c r="E23" s="598"/>
      <c r="F23" s="598"/>
      <c r="G23" s="598"/>
      <c r="H23" s="598"/>
      <c r="I23" s="340" t="s">
        <v>490</v>
      </c>
    </row>
    <row r="24" spans="1:9" ht="69" customHeight="1">
      <c r="A24" s="340"/>
      <c r="B24" s="340" t="s">
        <v>440</v>
      </c>
      <c r="C24" s="598" t="s">
        <v>491</v>
      </c>
      <c r="D24" s="598"/>
      <c r="E24" s="598"/>
      <c r="F24" s="598"/>
      <c r="G24" s="598"/>
      <c r="H24" s="598"/>
      <c r="I24" s="340"/>
    </row>
    <row r="25" spans="1:9" ht="78.75">
      <c r="A25" s="340"/>
      <c r="B25" s="340"/>
      <c r="C25" s="598" t="s">
        <v>492</v>
      </c>
      <c r="D25" s="598"/>
      <c r="E25" s="598"/>
      <c r="F25" s="605" t="s">
        <v>493</v>
      </c>
      <c r="G25" s="598"/>
      <c r="H25" s="605" t="s">
        <v>494</v>
      </c>
      <c r="I25" s="340" t="s">
        <v>451</v>
      </c>
    </row>
    <row r="26" spans="1:9" ht="409.5">
      <c r="A26" s="340" t="s">
        <v>449</v>
      </c>
      <c r="B26" s="340"/>
      <c r="C26" s="598" t="s">
        <v>495</v>
      </c>
      <c r="D26" s="598"/>
      <c r="E26" s="598"/>
      <c r="F26" s="598" t="s">
        <v>496</v>
      </c>
      <c r="G26" s="598"/>
      <c r="H26" s="605" t="s">
        <v>497</v>
      </c>
      <c r="I26" s="340" t="s">
        <v>498</v>
      </c>
    </row>
    <row r="27" spans="1:9" ht="24" customHeight="1">
      <c r="A27" s="340"/>
      <c r="B27" s="340" t="s">
        <v>499</v>
      </c>
      <c r="C27" s="598" t="s">
        <v>500</v>
      </c>
      <c r="D27" s="598"/>
      <c r="E27" s="598"/>
      <c r="F27" s="598"/>
      <c r="G27" s="598"/>
      <c r="H27" s="598"/>
      <c r="I27" s="340"/>
    </row>
    <row r="28" spans="1:9" ht="36.75" customHeight="1">
      <c r="A28" s="340"/>
      <c r="B28" s="340" t="s">
        <v>440</v>
      </c>
      <c r="C28" s="598" t="s">
        <v>501</v>
      </c>
      <c r="D28" s="598"/>
      <c r="E28" s="598"/>
      <c r="F28" s="598"/>
      <c r="G28" s="598"/>
      <c r="H28" s="605" t="s">
        <v>502</v>
      </c>
      <c r="I28" s="340"/>
    </row>
    <row r="29" spans="1:9" ht="15.75">
      <c r="A29" s="340"/>
      <c r="B29" s="340" t="s">
        <v>440</v>
      </c>
      <c r="C29" s="598" t="s">
        <v>503</v>
      </c>
      <c r="D29" s="598"/>
      <c r="E29" s="598"/>
      <c r="F29" s="598"/>
      <c r="G29" s="598"/>
      <c r="H29" s="598"/>
      <c r="I29" s="340"/>
    </row>
    <row r="30" spans="1:9" ht="80.25" customHeight="1">
      <c r="A30" s="340"/>
      <c r="B30" s="340"/>
      <c r="C30" s="341" t="s">
        <v>504</v>
      </c>
      <c r="D30" s="341"/>
      <c r="E30" s="341"/>
      <c r="F30" s="341"/>
      <c r="G30" s="341"/>
      <c r="H30" s="341"/>
      <c r="I30" s="346"/>
    </row>
    <row r="31" spans="1:9" ht="25.5" customHeight="1">
      <c r="A31" s="340"/>
      <c r="B31" s="340"/>
      <c r="C31" s="598" t="s">
        <v>505</v>
      </c>
      <c r="D31" s="598"/>
      <c r="E31" s="598"/>
      <c r="F31" s="605" t="s">
        <v>506</v>
      </c>
      <c r="G31" s="598"/>
      <c r="H31" s="598" t="s">
        <v>507</v>
      </c>
      <c r="I31" s="340" t="s">
        <v>451</v>
      </c>
    </row>
    <row r="32" spans="1:9" ht="25.5" customHeight="1">
      <c r="A32" s="340" t="s">
        <v>442</v>
      </c>
      <c r="B32" s="340"/>
      <c r="C32" s="598" t="s">
        <v>508</v>
      </c>
      <c r="D32" s="598"/>
      <c r="E32" s="598"/>
      <c r="F32" s="598"/>
      <c r="G32" s="598"/>
      <c r="H32" s="598"/>
      <c r="I32" s="340" t="s">
        <v>509</v>
      </c>
    </row>
    <row r="33" spans="1:9" ht="126">
      <c r="A33" s="340" t="s">
        <v>449</v>
      </c>
      <c r="B33" s="340"/>
      <c r="C33" s="598" t="s">
        <v>510</v>
      </c>
      <c r="D33" s="598"/>
      <c r="E33" s="598"/>
      <c r="F33" s="605" t="s">
        <v>511</v>
      </c>
      <c r="G33" s="598"/>
      <c r="H33" s="605" t="s">
        <v>512</v>
      </c>
      <c r="I33" s="340" t="s">
        <v>513</v>
      </c>
    </row>
    <row r="34" spans="1:9" ht="94.5">
      <c r="A34" s="340"/>
      <c r="B34" s="340"/>
      <c r="C34" s="598" t="s">
        <v>514</v>
      </c>
      <c r="D34" s="598"/>
      <c r="E34" s="598"/>
      <c r="F34" s="605" t="s">
        <v>515</v>
      </c>
      <c r="G34" s="598"/>
      <c r="H34" s="605" t="s">
        <v>516</v>
      </c>
      <c r="I34" s="598" t="s">
        <v>451</v>
      </c>
    </row>
    <row r="35" spans="1:9" ht="117.75" customHeight="1">
      <c r="A35" s="340" t="s">
        <v>442</v>
      </c>
      <c r="B35" s="340"/>
      <c r="C35" s="598" t="s">
        <v>517</v>
      </c>
      <c r="D35" s="598"/>
      <c r="E35" s="598"/>
      <c r="F35" s="605" t="s">
        <v>518</v>
      </c>
      <c r="G35" s="598"/>
      <c r="H35" s="598"/>
      <c r="I35" s="340" t="s">
        <v>519</v>
      </c>
    </row>
    <row r="36" spans="1:9" ht="143.25" customHeight="1">
      <c r="A36" s="340" t="s">
        <v>449</v>
      </c>
      <c r="B36" s="340"/>
      <c r="C36" s="598" t="s">
        <v>520</v>
      </c>
      <c r="D36" s="598"/>
      <c r="E36" s="598"/>
      <c r="F36" s="605" t="s">
        <v>521</v>
      </c>
      <c r="G36" s="598"/>
      <c r="H36" s="598" t="s">
        <v>522</v>
      </c>
      <c r="I36" s="340" t="s">
        <v>451</v>
      </c>
    </row>
    <row r="37" spans="1:9" ht="76.5" customHeight="1">
      <c r="A37" s="340"/>
      <c r="B37" s="340" t="s">
        <v>523</v>
      </c>
      <c r="C37" s="599" t="s">
        <v>524</v>
      </c>
      <c r="D37" s="599"/>
      <c r="E37" s="599"/>
      <c r="F37" s="606" t="s">
        <v>525</v>
      </c>
      <c r="G37" s="599"/>
      <c r="H37" s="599"/>
      <c r="I37" s="340" t="s">
        <v>526</v>
      </c>
    </row>
    <row r="38" spans="1:9" ht="157.5">
      <c r="A38" s="340"/>
      <c r="B38" s="340" t="s">
        <v>523</v>
      </c>
      <c r="C38" s="598" t="s">
        <v>527</v>
      </c>
      <c r="D38" s="598"/>
      <c r="E38" s="598"/>
      <c r="F38" s="598"/>
      <c r="G38" s="598"/>
      <c r="H38" s="605" t="s">
        <v>528</v>
      </c>
      <c r="I38" s="598" t="s">
        <v>451</v>
      </c>
    </row>
    <row r="39" spans="1:9" ht="15.75">
      <c r="A39" s="340" t="s">
        <v>449</v>
      </c>
      <c r="B39" s="340"/>
      <c r="C39" s="598" t="s">
        <v>529</v>
      </c>
      <c r="D39" s="598"/>
      <c r="E39" s="598"/>
      <c r="F39" s="598"/>
      <c r="G39" s="598"/>
      <c r="H39" s="598"/>
      <c r="I39" s="340" t="s">
        <v>513</v>
      </c>
    </row>
    <row r="40" spans="1:9" ht="36.75" customHeight="1">
      <c r="A40" s="340" t="s">
        <v>449</v>
      </c>
      <c r="B40" s="340"/>
      <c r="C40" s="598" t="s">
        <v>530</v>
      </c>
      <c r="D40" s="598"/>
      <c r="E40" s="598"/>
      <c r="F40" s="598"/>
      <c r="G40" s="598"/>
      <c r="H40" s="598"/>
      <c r="I40" s="345" t="s">
        <v>531</v>
      </c>
    </row>
    <row r="41" spans="1:9" ht="204.75">
      <c r="A41" s="340"/>
      <c r="B41" s="340"/>
      <c r="C41" s="598" t="s">
        <v>532</v>
      </c>
      <c r="D41" s="598"/>
      <c r="E41" s="598"/>
      <c r="F41" s="598"/>
      <c r="G41" s="598"/>
      <c r="H41" s="605" t="s">
        <v>533</v>
      </c>
      <c r="I41" s="340" t="s">
        <v>509</v>
      </c>
    </row>
    <row r="42" spans="1:9" ht="94.5">
      <c r="A42" s="340" t="s">
        <v>449</v>
      </c>
      <c r="B42" s="340"/>
      <c r="C42" s="598" t="s">
        <v>534</v>
      </c>
      <c r="D42" s="598"/>
      <c r="E42" s="598"/>
      <c r="F42" s="605" t="s">
        <v>535</v>
      </c>
      <c r="G42" s="598"/>
      <c r="H42" s="605" t="s">
        <v>536</v>
      </c>
      <c r="I42" s="340" t="s">
        <v>513</v>
      </c>
    </row>
    <row r="43" spans="1:9" ht="15.75">
      <c r="A43" s="340"/>
      <c r="B43" s="340" t="s">
        <v>3</v>
      </c>
      <c r="C43" s="598" t="s">
        <v>537</v>
      </c>
      <c r="D43" s="598"/>
      <c r="E43" s="598"/>
      <c r="F43" s="598"/>
      <c r="G43" s="598"/>
      <c r="H43" s="598"/>
      <c r="I43" s="340"/>
    </row>
    <row r="44" spans="1:9" ht="125.25" customHeight="1">
      <c r="A44" s="340" t="s">
        <v>442</v>
      </c>
      <c r="B44" s="340"/>
      <c r="C44" s="598" t="s">
        <v>538</v>
      </c>
      <c r="D44" s="598"/>
      <c r="E44" s="598"/>
      <c r="F44" s="598"/>
      <c r="G44" s="598"/>
      <c r="H44" s="598"/>
      <c r="I44" s="340"/>
    </row>
    <row r="45" spans="1:9" ht="15.75">
      <c r="A45" s="340"/>
      <c r="B45" s="340" t="s">
        <v>440</v>
      </c>
      <c r="C45" s="598" t="s">
        <v>539</v>
      </c>
      <c r="D45" s="598"/>
      <c r="E45" s="598"/>
      <c r="F45" s="598"/>
      <c r="G45" s="598"/>
      <c r="H45" s="598"/>
      <c r="I45" s="340"/>
    </row>
    <row r="46" spans="1:9" ht="126">
      <c r="A46" s="340"/>
      <c r="B46" s="340"/>
      <c r="C46" s="598" t="s">
        <v>540</v>
      </c>
      <c r="D46" s="598"/>
      <c r="E46" s="598"/>
      <c r="F46" s="598"/>
      <c r="G46" s="598"/>
      <c r="H46" s="605" t="s">
        <v>541</v>
      </c>
      <c r="I46" s="340"/>
    </row>
    <row r="47" spans="1:9" ht="99" customHeight="1">
      <c r="A47" s="340"/>
      <c r="B47" s="340"/>
      <c r="C47" s="598" t="s">
        <v>542</v>
      </c>
      <c r="D47" s="598"/>
      <c r="E47" s="598"/>
      <c r="F47" s="598"/>
      <c r="G47" s="598"/>
      <c r="H47" s="605" t="s">
        <v>543</v>
      </c>
      <c r="I47" s="340" t="s">
        <v>509</v>
      </c>
    </row>
    <row r="48" spans="1:9" ht="15.75">
      <c r="A48" s="340"/>
      <c r="B48" s="340" t="s">
        <v>440</v>
      </c>
      <c r="C48" s="598" t="s">
        <v>544</v>
      </c>
      <c r="D48" s="598"/>
      <c r="E48" s="598"/>
      <c r="F48" s="598"/>
      <c r="G48" s="598"/>
      <c r="H48" s="598"/>
      <c r="I48" s="340" t="s">
        <v>545</v>
      </c>
    </row>
    <row r="49" spans="1:9" ht="46.5" customHeight="1">
      <c r="A49" s="340"/>
      <c r="B49" s="340"/>
      <c r="C49" s="598" t="s">
        <v>546</v>
      </c>
      <c r="D49" s="598"/>
      <c r="E49" s="598"/>
      <c r="F49" s="598"/>
      <c r="G49" s="598"/>
      <c r="H49" s="598"/>
      <c r="I49" s="340" t="s">
        <v>547</v>
      </c>
    </row>
    <row r="50" spans="1:9" ht="63">
      <c r="A50" s="340"/>
      <c r="B50" s="340" t="s">
        <v>548</v>
      </c>
      <c r="C50" s="598" t="s">
        <v>549</v>
      </c>
      <c r="D50" s="598"/>
      <c r="E50" s="598"/>
      <c r="F50" s="605" t="s">
        <v>550</v>
      </c>
      <c r="G50" s="598"/>
      <c r="H50" s="598"/>
      <c r="I50" s="598" t="s">
        <v>551</v>
      </c>
    </row>
    <row r="51" spans="1:9" ht="75" customHeight="1">
      <c r="A51" s="340"/>
      <c r="B51" s="340" t="s">
        <v>548</v>
      </c>
      <c r="C51" s="598" t="s">
        <v>552</v>
      </c>
      <c r="D51" s="598"/>
      <c r="E51" s="598"/>
      <c r="F51" s="598"/>
      <c r="G51" s="598"/>
      <c r="H51" s="605" t="s">
        <v>553</v>
      </c>
      <c r="I51" s="598" t="s">
        <v>551</v>
      </c>
    </row>
    <row r="52" spans="1:9" ht="15.75">
      <c r="A52" s="340"/>
      <c r="B52" s="340"/>
      <c r="C52" s="598" t="s">
        <v>554</v>
      </c>
      <c r="D52" s="598"/>
      <c r="E52" s="598"/>
      <c r="F52" s="598"/>
      <c r="G52" s="598"/>
      <c r="H52" s="598"/>
      <c r="I52" s="340" t="s">
        <v>498</v>
      </c>
    </row>
    <row r="53" spans="1:9" ht="141.75">
      <c r="A53" s="340"/>
      <c r="B53" s="341" t="s">
        <v>3</v>
      </c>
      <c r="C53" s="598" t="s">
        <v>555</v>
      </c>
      <c r="D53" s="598"/>
      <c r="E53" s="598"/>
      <c r="F53" s="598"/>
      <c r="G53" s="598"/>
      <c r="H53" s="605" t="s">
        <v>556</v>
      </c>
      <c r="I53" s="598" t="s">
        <v>551</v>
      </c>
    </row>
    <row r="54" spans="1:9" ht="94.5">
      <c r="A54" s="340"/>
      <c r="B54" s="341" t="s">
        <v>3</v>
      </c>
      <c r="C54" s="598" t="s">
        <v>557</v>
      </c>
      <c r="D54" s="598"/>
      <c r="E54" s="598"/>
      <c r="F54" s="605" t="s">
        <v>558</v>
      </c>
      <c r="G54" s="598"/>
      <c r="H54" s="598"/>
      <c r="I54" s="340" t="s">
        <v>509</v>
      </c>
    </row>
    <row r="55" spans="1:9" ht="15.75">
      <c r="A55" s="340"/>
      <c r="B55" s="341" t="s">
        <v>559</v>
      </c>
      <c r="C55" s="598" t="s">
        <v>560</v>
      </c>
      <c r="D55" s="598"/>
      <c r="E55" s="598"/>
      <c r="F55" s="598"/>
      <c r="G55" s="598"/>
      <c r="H55" s="598"/>
      <c r="I55" s="346" t="s">
        <v>561</v>
      </c>
    </row>
    <row r="56" spans="1:9" ht="15.75">
      <c r="A56" s="340"/>
      <c r="B56" s="340" t="s">
        <v>440</v>
      </c>
      <c r="C56" s="598" t="s">
        <v>562</v>
      </c>
      <c r="D56" s="598"/>
      <c r="E56" s="598"/>
      <c r="F56" s="598"/>
      <c r="G56" s="598"/>
      <c r="H56" s="598"/>
      <c r="I56" s="340"/>
    </row>
    <row r="57" spans="1:9" ht="78.75">
      <c r="A57" s="340"/>
      <c r="B57" s="340" t="s">
        <v>440</v>
      </c>
      <c r="C57" s="598" t="s">
        <v>563</v>
      </c>
      <c r="D57" s="598"/>
      <c r="E57" s="598"/>
      <c r="F57" s="605" t="s">
        <v>564</v>
      </c>
      <c r="G57" s="598"/>
      <c r="H57" s="598"/>
      <c r="I57" s="340"/>
    </row>
    <row r="58" spans="1:9" ht="110.25">
      <c r="A58" s="340"/>
      <c r="B58" s="340" t="s">
        <v>3</v>
      </c>
      <c r="C58" s="598" t="s">
        <v>565</v>
      </c>
      <c r="D58" s="598"/>
      <c r="E58" s="598"/>
      <c r="F58" s="598"/>
      <c r="G58" s="598"/>
      <c r="H58" s="605" t="s">
        <v>566</v>
      </c>
      <c r="I58" s="345" t="s">
        <v>526</v>
      </c>
    </row>
    <row r="59" spans="1:9" ht="42" customHeight="1">
      <c r="A59" s="340"/>
      <c r="B59" s="341" t="s">
        <v>567</v>
      </c>
      <c r="C59" s="598" t="s">
        <v>568</v>
      </c>
      <c r="D59" s="598"/>
      <c r="E59" s="598"/>
      <c r="F59" s="605" t="s">
        <v>569</v>
      </c>
      <c r="G59" s="598"/>
      <c r="H59" s="598"/>
      <c r="I59" s="340" t="s">
        <v>498</v>
      </c>
    </row>
    <row r="60" spans="1:9" ht="253.5" customHeight="1">
      <c r="A60" s="340" t="s">
        <v>442</v>
      </c>
      <c r="B60" s="340"/>
      <c r="C60" s="598" t="s">
        <v>570</v>
      </c>
      <c r="D60" s="598"/>
      <c r="E60" s="598"/>
      <c r="F60" s="605" t="s">
        <v>571</v>
      </c>
      <c r="G60" s="598"/>
      <c r="H60" s="605" t="s">
        <v>572</v>
      </c>
      <c r="I60" s="340"/>
    </row>
    <row r="61" spans="1:9" ht="96.75" customHeight="1">
      <c r="A61" s="340" t="s">
        <v>449</v>
      </c>
      <c r="B61" s="340"/>
      <c r="C61" s="598" t="s">
        <v>573</v>
      </c>
      <c r="D61" s="598"/>
      <c r="E61" s="598"/>
      <c r="F61" s="605" t="s">
        <v>574</v>
      </c>
      <c r="G61" s="598"/>
      <c r="H61" s="605" t="s">
        <v>575</v>
      </c>
      <c r="I61" s="598" t="s">
        <v>513</v>
      </c>
    </row>
    <row r="62" spans="1:9" ht="78.75">
      <c r="A62" s="340" t="s">
        <v>449</v>
      </c>
      <c r="B62" s="340" t="s">
        <v>3</v>
      </c>
      <c r="C62" s="598" t="s">
        <v>576</v>
      </c>
      <c r="D62" s="598"/>
      <c r="E62" s="598"/>
      <c r="F62" s="605" t="s">
        <v>577</v>
      </c>
      <c r="G62" s="598"/>
      <c r="H62" s="605" t="s">
        <v>578</v>
      </c>
      <c r="I62" s="340" t="s">
        <v>451</v>
      </c>
    </row>
    <row r="63" spans="1:9" ht="50.25" customHeight="1">
      <c r="A63" s="340"/>
      <c r="B63" s="340" t="s">
        <v>440</v>
      </c>
      <c r="C63" s="598" t="s">
        <v>579</v>
      </c>
      <c r="D63" s="598"/>
      <c r="E63" s="598"/>
      <c r="F63" s="598"/>
      <c r="G63" s="598"/>
      <c r="H63" s="598" t="s">
        <v>580</v>
      </c>
      <c r="I63" s="340"/>
    </row>
    <row r="64" spans="1:9" ht="50.25" customHeight="1">
      <c r="A64" s="340" t="s">
        <v>449</v>
      </c>
      <c r="B64" s="340"/>
      <c r="C64" s="598" t="s">
        <v>581</v>
      </c>
      <c r="D64" s="598"/>
      <c r="E64" s="598"/>
      <c r="F64" s="598"/>
      <c r="G64" s="598"/>
      <c r="H64" s="598"/>
      <c r="I64" s="345" t="s">
        <v>547</v>
      </c>
    </row>
    <row r="65" spans="1:9" ht="94.5">
      <c r="A65" s="340"/>
      <c r="B65" s="340"/>
      <c r="C65" s="598" t="s">
        <v>582</v>
      </c>
      <c r="D65" s="598"/>
      <c r="E65" s="598"/>
      <c r="F65" s="605" t="s">
        <v>583</v>
      </c>
      <c r="G65" s="598"/>
      <c r="H65" s="598"/>
      <c r="I65" s="345" t="s">
        <v>526</v>
      </c>
    </row>
    <row r="66" spans="1:9" ht="15.75">
      <c r="A66" s="340"/>
      <c r="B66" s="340"/>
      <c r="C66" s="598" t="s">
        <v>584</v>
      </c>
      <c r="D66" s="598"/>
      <c r="E66" s="598"/>
      <c r="F66" s="598"/>
      <c r="G66" s="598"/>
      <c r="H66" s="598"/>
      <c r="I66" s="340" t="s">
        <v>509</v>
      </c>
    </row>
    <row r="67" spans="1:9" ht="204.75" customHeight="1">
      <c r="A67" s="340" t="s">
        <v>473</v>
      </c>
      <c r="B67" s="340"/>
      <c r="C67" s="598" t="s">
        <v>585</v>
      </c>
      <c r="D67" s="598"/>
      <c r="E67" s="598"/>
      <c r="F67" s="598"/>
      <c r="G67" s="598"/>
      <c r="H67" s="605" t="s">
        <v>586</v>
      </c>
      <c r="I67" s="340"/>
    </row>
    <row r="68" spans="1:9" ht="30">
      <c r="A68" s="340" t="s">
        <v>449</v>
      </c>
      <c r="B68" s="340"/>
      <c r="C68" s="598" t="s">
        <v>587</v>
      </c>
      <c r="D68" s="598"/>
      <c r="E68" s="598"/>
      <c r="F68" s="598"/>
      <c r="G68" s="598"/>
      <c r="H68" s="598"/>
      <c r="I68" s="345" t="s">
        <v>588</v>
      </c>
    </row>
    <row r="69" spans="1:9" ht="78.75">
      <c r="A69" s="340" t="s">
        <v>449</v>
      </c>
      <c r="B69" s="340"/>
      <c r="C69" s="598" t="s">
        <v>589</v>
      </c>
      <c r="D69" s="598"/>
      <c r="E69" s="598"/>
      <c r="F69" s="605" t="s">
        <v>590</v>
      </c>
      <c r="G69" s="598"/>
      <c r="H69" s="605" t="s">
        <v>591</v>
      </c>
      <c r="I69" s="340" t="s">
        <v>451</v>
      </c>
    </row>
    <row r="70" spans="1:9" ht="66.75" customHeight="1">
      <c r="A70" s="340"/>
      <c r="B70" s="340"/>
      <c r="C70" s="340" t="s">
        <v>592</v>
      </c>
      <c r="D70" s="340"/>
      <c r="E70" s="340"/>
      <c r="F70" s="345" t="s">
        <v>593</v>
      </c>
      <c r="G70" s="340"/>
      <c r="H70" s="340"/>
      <c r="I70" s="340"/>
    </row>
    <row r="71" spans="1:9" ht="141.75" customHeight="1">
      <c r="A71" s="340"/>
      <c r="B71" s="340"/>
      <c r="C71" s="598" t="s">
        <v>594</v>
      </c>
      <c r="D71" s="598"/>
      <c r="E71" s="598"/>
      <c r="F71" s="605" t="s">
        <v>595</v>
      </c>
      <c r="G71" s="598"/>
      <c r="H71" s="605" t="s">
        <v>596</v>
      </c>
      <c r="I71" s="605" t="s">
        <v>597</v>
      </c>
    </row>
    <row r="72" spans="1:9" ht="341.25" customHeight="1">
      <c r="A72" s="340" t="s">
        <v>442</v>
      </c>
      <c r="B72" s="340"/>
      <c r="C72" s="598" t="s">
        <v>598</v>
      </c>
      <c r="D72" s="598"/>
      <c r="E72" s="598"/>
      <c r="F72" s="605" t="s">
        <v>599</v>
      </c>
      <c r="G72" s="598"/>
      <c r="H72" s="605" t="s">
        <v>600</v>
      </c>
      <c r="I72" s="340"/>
    </row>
    <row r="73" spans="1:9" ht="155.25" customHeight="1">
      <c r="A73" s="340"/>
      <c r="B73" s="340"/>
      <c r="C73" s="598" t="s">
        <v>601</v>
      </c>
      <c r="D73" s="598"/>
      <c r="E73" s="598"/>
      <c r="F73" s="598"/>
      <c r="G73" s="598" t="s">
        <v>602</v>
      </c>
      <c r="H73" s="605" t="s">
        <v>603</v>
      </c>
      <c r="I73" s="340" t="s">
        <v>509</v>
      </c>
    </row>
    <row r="74" spans="1:9" ht="125.25" customHeight="1">
      <c r="A74" s="340"/>
      <c r="B74" s="601" t="s">
        <v>604</v>
      </c>
      <c r="C74" s="598" t="s">
        <v>605</v>
      </c>
      <c r="D74" s="598"/>
      <c r="E74" s="598"/>
      <c r="F74" s="605" t="s">
        <v>606</v>
      </c>
      <c r="G74" s="598"/>
      <c r="H74" s="607"/>
      <c r="I74" s="340" t="s">
        <v>509</v>
      </c>
    </row>
    <row r="75" spans="1:9" ht="153.75" customHeight="1">
      <c r="A75" s="340"/>
      <c r="B75" s="340"/>
      <c r="C75" s="598" t="s">
        <v>607</v>
      </c>
      <c r="D75" s="598"/>
      <c r="E75" s="598"/>
      <c r="F75" s="605" t="s">
        <v>608</v>
      </c>
      <c r="G75" s="598"/>
      <c r="H75" s="598" t="s">
        <v>609</v>
      </c>
      <c r="I75" s="340" t="s">
        <v>509</v>
      </c>
    </row>
    <row r="76" spans="1:9" ht="174.75" customHeight="1">
      <c r="A76" s="340"/>
      <c r="B76" s="340"/>
      <c r="C76" s="340" t="s">
        <v>610</v>
      </c>
      <c r="D76" s="340"/>
      <c r="E76" s="340"/>
      <c r="F76" s="340"/>
      <c r="G76" s="340"/>
      <c r="H76" s="345" t="s">
        <v>611</v>
      </c>
      <c r="I76" s="340" t="s">
        <v>509</v>
      </c>
    </row>
    <row r="77" spans="1:9" ht="159.75" customHeight="1">
      <c r="A77" s="340"/>
      <c r="B77" s="340"/>
      <c r="C77" s="598" t="s">
        <v>612</v>
      </c>
      <c r="D77" s="598"/>
      <c r="E77" s="598"/>
      <c r="F77" s="598"/>
      <c r="G77" s="598"/>
      <c r="H77" s="598"/>
      <c r="I77" s="340" t="s">
        <v>498</v>
      </c>
    </row>
    <row r="78" spans="1:9" ht="75.75" customHeight="1">
      <c r="A78" s="340"/>
      <c r="B78" s="340"/>
      <c r="C78" s="608" t="s">
        <v>613</v>
      </c>
      <c r="D78" s="600"/>
      <c r="E78" s="600"/>
      <c r="F78" s="600"/>
      <c r="G78" s="600"/>
      <c r="H78" s="600"/>
      <c r="I78" s="343" t="s">
        <v>3</v>
      </c>
    </row>
    <row r="79" spans="1:9" ht="30">
      <c r="A79" s="340"/>
      <c r="B79" s="340"/>
      <c r="C79" s="342" t="s">
        <v>613</v>
      </c>
      <c r="D79" s="343"/>
      <c r="E79" s="343"/>
      <c r="F79" s="343"/>
      <c r="G79" s="343"/>
      <c r="H79" s="343"/>
      <c r="I79" s="346"/>
    </row>
    <row r="80" spans="1:9" ht="15.75">
      <c r="A80" s="340"/>
      <c r="B80" s="340"/>
      <c r="C80" s="598" t="s">
        <v>614</v>
      </c>
      <c r="D80" s="598"/>
      <c r="E80" s="598"/>
      <c r="F80" s="598"/>
      <c r="G80" s="598"/>
      <c r="H80" s="598"/>
      <c r="I80" s="340" t="s">
        <v>498</v>
      </c>
    </row>
    <row r="81" spans="1:9" ht="78.75">
      <c r="A81" s="340" t="s">
        <v>449</v>
      </c>
      <c r="B81" s="341" t="s">
        <v>604</v>
      </c>
      <c r="C81" s="598" t="s">
        <v>615</v>
      </c>
      <c r="D81" s="598"/>
      <c r="E81" s="598"/>
      <c r="F81" s="605" t="s">
        <v>616</v>
      </c>
      <c r="G81" s="598"/>
      <c r="H81" s="605" t="s">
        <v>617</v>
      </c>
      <c r="I81" s="340" t="s">
        <v>618</v>
      </c>
    </row>
    <row r="82" spans="1:9" ht="15.75">
      <c r="A82" s="340" t="s">
        <v>449</v>
      </c>
      <c r="B82" s="340"/>
      <c r="C82" s="598" t="s">
        <v>619</v>
      </c>
      <c r="D82" s="598"/>
      <c r="E82" s="598"/>
      <c r="F82" s="598"/>
      <c r="G82" s="598"/>
      <c r="H82" s="598"/>
      <c r="I82" s="340" t="s">
        <v>451</v>
      </c>
    </row>
    <row r="83" spans="1:9" ht="80.25" customHeight="1">
      <c r="A83" s="340" t="s">
        <v>449</v>
      </c>
      <c r="B83" s="340"/>
      <c r="C83" s="598" t="s">
        <v>620</v>
      </c>
      <c r="D83" s="598"/>
      <c r="E83" s="598"/>
      <c r="F83" s="598"/>
      <c r="G83" s="598"/>
      <c r="H83" s="598"/>
      <c r="I83" s="340" t="s">
        <v>513</v>
      </c>
    </row>
    <row r="84" spans="1:9" ht="126">
      <c r="A84" s="340" t="s">
        <v>449</v>
      </c>
      <c r="B84" s="340"/>
      <c r="C84" s="598" t="s">
        <v>621</v>
      </c>
      <c r="D84" s="598"/>
      <c r="E84" s="598"/>
      <c r="F84" s="605" t="s">
        <v>622</v>
      </c>
      <c r="G84" s="598"/>
      <c r="H84" s="605" t="s">
        <v>623</v>
      </c>
      <c r="I84" s="340" t="s">
        <v>451</v>
      </c>
    </row>
    <row r="85" spans="1:9" ht="78.75">
      <c r="A85" s="340"/>
      <c r="B85" s="340"/>
      <c r="C85" s="598" t="s">
        <v>624</v>
      </c>
      <c r="D85" s="598"/>
      <c r="E85" s="598"/>
      <c r="F85" s="605" t="s">
        <v>625</v>
      </c>
      <c r="G85" s="598"/>
      <c r="H85" s="605" t="s">
        <v>626</v>
      </c>
      <c r="I85" s="340" t="s">
        <v>509</v>
      </c>
    </row>
    <row r="86" spans="1:9" ht="94.5">
      <c r="A86" s="340" t="s">
        <v>449</v>
      </c>
      <c r="B86" s="340"/>
      <c r="C86" s="598" t="s">
        <v>627</v>
      </c>
      <c r="D86" s="598"/>
      <c r="E86" s="598"/>
      <c r="F86" s="598"/>
      <c r="G86" s="598"/>
      <c r="H86" s="605" t="s">
        <v>628</v>
      </c>
      <c r="I86" s="340" t="s">
        <v>509</v>
      </c>
    </row>
    <row r="87" spans="1:9" ht="110.25">
      <c r="A87" s="340"/>
      <c r="B87" s="340"/>
      <c r="C87" s="598" t="s">
        <v>629</v>
      </c>
      <c r="D87" s="598" t="s">
        <v>630</v>
      </c>
      <c r="E87" s="598"/>
      <c r="F87" s="598"/>
      <c r="G87" s="598"/>
      <c r="H87" s="605" t="s">
        <v>631</v>
      </c>
      <c r="I87" s="340"/>
    </row>
    <row r="88" spans="1:9" ht="15.75">
      <c r="A88" s="340" t="s">
        <v>449</v>
      </c>
      <c r="B88" s="341" t="s">
        <v>559</v>
      </c>
      <c r="C88" s="598" t="s">
        <v>632</v>
      </c>
      <c r="D88" s="598"/>
      <c r="E88" s="598"/>
      <c r="F88" s="598"/>
      <c r="G88" s="598"/>
      <c r="H88" s="598"/>
      <c r="I88" s="340" t="s">
        <v>509</v>
      </c>
    </row>
    <row r="89" spans="1:9" ht="15.75">
      <c r="A89" s="340"/>
      <c r="B89" s="341" t="s">
        <v>633</v>
      </c>
      <c r="C89" s="598" t="s">
        <v>634</v>
      </c>
      <c r="D89" s="598"/>
      <c r="E89" s="598"/>
      <c r="F89" s="598"/>
      <c r="G89" s="598"/>
      <c r="H89" s="598"/>
      <c r="I89" s="340"/>
    </row>
    <row r="90" spans="1:9" ht="15.75">
      <c r="A90" s="340"/>
      <c r="B90" s="340"/>
      <c r="C90" s="598" t="s">
        <v>635</v>
      </c>
      <c r="D90" s="598"/>
      <c r="E90" s="598"/>
      <c r="F90" s="598"/>
      <c r="G90" s="598"/>
      <c r="H90" s="598"/>
      <c r="I90" s="340" t="s">
        <v>456</v>
      </c>
    </row>
    <row r="91" spans="1:9" ht="15.75">
      <c r="A91" s="340"/>
      <c r="B91" s="340"/>
      <c r="C91" s="598" t="s">
        <v>636</v>
      </c>
      <c r="D91" s="598"/>
      <c r="E91" s="598"/>
      <c r="F91" s="598"/>
      <c r="G91" s="598"/>
      <c r="H91" s="598"/>
      <c r="I91" s="345" t="s">
        <v>526</v>
      </c>
    </row>
    <row r="92" spans="1:9" ht="61.5" customHeight="1">
      <c r="A92" s="340"/>
      <c r="B92" s="340" t="s">
        <v>440</v>
      </c>
      <c r="C92" s="598" t="s">
        <v>637</v>
      </c>
      <c r="D92" s="598"/>
      <c r="E92" s="598"/>
      <c r="F92" s="598"/>
      <c r="G92" s="598"/>
      <c r="H92" s="598"/>
      <c r="I92" s="340"/>
    </row>
    <row r="93" spans="1:9" ht="61.5" customHeight="1">
      <c r="A93" s="340"/>
      <c r="B93" s="340"/>
      <c r="C93" s="598" t="s">
        <v>638</v>
      </c>
      <c r="D93" s="598"/>
      <c r="E93" s="598"/>
      <c r="F93" s="598"/>
      <c r="G93" s="598"/>
      <c r="H93" s="598"/>
      <c r="I93" s="340"/>
    </row>
    <row r="94" spans="1:9" ht="144.75" customHeight="1">
      <c r="A94" s="340"/>
      <c r="B94" s="340"/>
      <c r="C94" s="598" t="s">
        <v>639</v>
      </c>
      <c r="D94" s="598"/>
      <c r="E94" s="598"/>
      <c r="F94" s="605" t="s">
        <v>640</v>
      </c>
      <c r="G94" s="598"/>
      <c r="H94" s="598"/>
      <c r="I94" s="340"/>
    </row>
    <row r="95" spans="1:9" ht="138" customHeight="1">
      <c r="A95" s="340"/>
      <c r="B95" s="340" t="s">
        <v>440</v>
      </c>
      <c r="C95" s="598" t="s">
        <v>641</v>
      </c>
      <c r="D95" s="598"/>
      <c r="E95" s="598"/>
      <c r="F95" s="598"/>
      <c r="G95" s="598"/>
      <c r="H95" s="598"/>
      <c r="I95" s="340"/>
    </row>
    <row r="96" spans="1:9" ht="183" customHeight="1">
      <c r="A96" s="340" t="s">
        <v>449</v>
      </c>
      <c r="B96" s="340"/>
      <c r="C96" s="598" t="s">
        <v>642</v>
      </c>
      <c r="D96" s="598"/>
      <c r="E96" s="598"/>
      <c r="F96" s="598"/>
      <c r="G96" s="598"/>
      <c r="H96" s="598"/>
      <c r="I96" s="340" t="s">
        <v>513</v>
      </c>
    </row>
    <row r="97" spans="1:9" ht="144" customHeight="1">
      <c r="A97" s="340"/>
      <c r="B97" s="609" t="s">
        <v>604</v>
      </c>
      <c r="C97" s="598" t="s">
        <v>643</v>
      </c>
      <c r="D97" s="598"/>
      <c r="E97" s="598"/>
      <c r="F97" s="605" t="s">
        <v>644</v>
      </c>
      <c r="G97" s="598"/>
      <c r="H97" s="605" t="s">
        <v>645</v>
      </c>
      <c r="I97" s="345" t="s">
        <v>526</v>
      </c>
    </row>
    <row r="98" spans="1:9" ht="351.75" customHeight="1">
      <c r="A98" s="340"/>
      <c r="B98" s="340"/>
      <c r="C98" s="598" t="s">
        <v>646</v>
      </c>
      <c r="D98" s="598"/>
      <c r="E98" s="598"/>
      <c r="F98" s="605" t="s">
        <v>647</v>
      </c>
      <c r="G98" s="598"/>
      <c r="H98" s="605" t="s">
        <v>648</v>
      </c>
      <c r="I98" s="598" t="s">
        <v>513</v>
      </c>
    </row>
    <row r="99" spans="1:9" ht="177.75" customHeight="1">
      <c r="A99" s="340"/>
      <c r="B99" s="340"/>
      <c r="C99" s="598" t="s">
        <v>649</v>
      </c>
      <c r="D99" s="598"/>
      <c r="E99" s="598"/>
      <c r="F99" s="605" t="s">
        <v>650</v>
      </c>
      <c r="G99" s="598"/>
      <c r="H99" s="605" t="s">
        <v>651</v>
      </c>
      <c r="I99" s="340" t="s">
        <v>652</v>
      </c>
    </row>
    <row r="100" spans="1:9" ht="191.25" customHeight="1">
      <c r="A100" s="340" t="s">
        <v>449</v>
      </c>
      <c r="B100" s="340"/>
      <c r="C100" s="598" t="s">
        <v>653</v>
      </c>
      <c r="D100" s="598"/>
      <c r="E100" s="598"/>
      <c r="F100" s="598"/>
      <c r="G100" s="598"/>
      <c r="H100" s="345" t="s">
        <v>654</v>
      </c>
      <c r="I100" s="340" t="s">
        <v>513</v>
      </c>
    </row>
    <row r="101" spans="1:9" ht="129" customHeight="1">
      <c r="A101" s="340" t="s">
        <v>449</v>
      </c>
      <c r="B101" s="340"/>
      <c r="C101" s="598" t="s">
        <v>655</v>
      </c>
      <c r="D101" s="598"/>
      <c r="E101" s="598"/>
      <c r="F101" s="598"/>
      <c r="G101" s="598"/>
      <c r="H101" s="598"/>
      <c r="I101" s="340" t="s">
        <v>513</v>
      </c>
    </row>
    <row r="102" spans="1:9" ht="213.75" customHeight="1">
      <c r="A102" s="340" t="s">
        <v>449</v>
      </c>
      <c r="B102" s="341" t="s">
        <v>656</v>
      </c>
      <c r="C102" s="598" t="s">
        <v>657</v>
      </c>
      <c r="D102" s="598"/>
      <c r="E102" s="598"/>
      <c r="F102" s="598"/>
      <c r="G102" s="598"/>
      <c r="H102" s="605" t="s">
        <v>658</v>
      </c>
      <c r="I102" s="340" t="s">
        <v>513</v>
      </c>
    </row>
    <row r="103" spans="1:9" ht="197.25" customHeight="1">
      <c r="A103" s="340" t="s">
        <v>449</v>
      </c>
      <c r="B103" s="340"/>
      <c r="C103" s="598" t="s">
        <v>659</v>
      </c>
      <c r="D103" s="598"/>
      <c r="E103" s="598"/>
      <c r="F103" s="605" t="s">
        <v>660</v>
      </c>
      <c r="G103" s="598"/>
      <c r="H103" s="605" t="s">
        <v>661</v>
      </c>
      <c r="I103" s="345" t="s">
        <v>662</v>
      </c>
    </row>
    <row r="104" spans="1:9" ht="63">
      <c r="A104" s="340" t="s">
        <v>449</v>
      </c>
      <c r="B104" s="340"/>
      <c r="C104" s="598" t="s">
        <v>663</v>
      </c>
      <c r="D104" s="598"/>
      <c r="E104" s="598"/>
      <c r="F104" s="605" t="s">
        <v>664</v>
      </c>
      <c r="G104" s="598"/>
      <c r="H104" s="598"/>
      <c r="I104" s="345" t="s">
        <v>662</v>
      </c>
    </row>
    <row r="105" spans="1:9" ht="67.5" customHeight="1">
      <c r="A105" s="340"/>
      <c r="B105" s="340" t="s">
        <v>440</v>
      </c>
      <c r="C105" s="598" t="s">
        <v>665</v>
      </c>
      <c r="D105" s="598"/>
      <c r="E105" s="598"/>
      <c r="F105" s="598"/>
      <c r="G105" s="598"/>
      <c r="H105" s="598"/>
      <c r="I105" s="340"/>
    </row>
    <row r="106" spans="1:9" ht="67.5" customHeight="1">
      <c r="A106" s="340"/>
      <c r="B106" s="340"/>
      <c r="C106" s="598" t="s">
        <v>666</v>
      </c>
      <c r="D106" s="598"/>
      <c r="E106" s="598"/>
      <c r="F106" s="598"/>
      <c r="G106" s="598"/>
      <c r="H106" s="598"/>
      <c r="I106" s="340"/>
    </row>
    <row r="107" spans="1:9" ht="67.5" customHeight="1">
      <c r="A107" s="340"/>
      <c r="B107" s="340"/>
      <c r="C107" s="598" t="s">
        <v>667</v>
      </c>
      <c r="D107" s="598"/>
      <c r="E107" s="598"/>
      <c r="F107" s="598"/>
      <c r="G107" s="598"/>
      <c r="H107" s="598"/>
      <c r="I107" s="340" t="s">
        <v>668</v>
      </c>
    </row>
    <row r="108" spans="1:9" ht="123" customHeight="1">
      <c r="A108" s="340"/>
      <c r="B108" s="340"/>
      <c r="C108" s="598" t="s">
        <v>669</v>
      </c>
      <c r="D108" s="598"/>
      <c r="E108" s="598"/>
      <c r="F108" s="605" t="s">
        <v>670</v>
      </c>
      <c r="G108" s="598"/>
      <c r="H108" s="605" t="s">
        <v>671</v>
      </c>
      <c r="I108" s="340" t="s">
        <v>652</v>
      </c>
    </row>
    <row r="109" spans="1:9" ht="123" customHeight="1">
      <c r="A109" s="340"/>
      <c r="B109" s="340"/>
      <c r="C109" s="598" t="s">
        <v>672</v>
      </c>
      <c r="D109" s="598"/>
      <c r="E109" s="598"/>
      <c r="F109" s="605" t="s">
        <v>673</v>
      </c>
      <c r="G109" s="598"/>
      <c r="H109" s="598"/>
      <c r="I109" s="345" t="s">
        <v>588</v>
      </c>
    </row>
    <row r="110" spans="1:9" ht="120.75" customHeight="1">
      <c r="A110" s="340"/>
      <c r="B110" s="340" t="s">
        <v>674</v>
      </c>
      <c r="C110" s="344" t="s">
        <v>675</v>
      </c>
      <c r="D110" s="341"/>
      <c r="E110" s="341"/>
      <c r="F110" s="341"/>
      <c r="G110" s="341"/>
      <c r="H110" s="344" t="s">
        <v>676</v>
      </c>
      <c r="I110" s="346"/>
    </row>
    <row r="111" spans="1:9" ht="122.25" customHeight="1">
      <c r="A111" s="340"/>
      <c r="B111" s="340"/>
      <c r="C111" s="598" t="s">
        <v>677</v>
      </c>
      <c r="D111" s="598"/>
      <c r="E111" s="598"/>
      <c r="F111" s="605" t="s">
        <v>678</v>
      </c>
      <c r="G111" s="598"/>
      <c r="H111" s="605" t="s">
        <v>679</v>
      </c>
      <c r="I111" s="340"/>
    </row>
    <row r="112" spans="1:9" ht="87" customHeight="1">
      <c r="A112" s="340"/>
      <c r="B112" s="340"/>
      <c r="C112" s="598" t="s">
        <v>680</v>
      </c>
      <c r="D112" s="598"/>
      <c r="E112" s="598"/>
      <c r="F112" s="605" t="s">
        <v>681</v>
      </c>
      <c r="G112" s="598"/>
      <c r="H112" s="605" t="s">
        <v>682</v>
      </c>
      <c r="I112" s="345" t="s">
        <v>683</v>
      </c>
    </row>
    <row r="113" spans="1:9" ht="107.25" customHeight="1">
      <c r="A113" s="340"/>
      <c r="B113" s="340"/>
      <c r="C113" s="598" t="s">
        <v>684</v>
      </c>
      <c r="D113" s="598"/>
      <c r="E113" s="598"/>
      <c r="F113" s="605" t="s">
        <v>685</v>
      </c>
      <c r="G113" s="598"/>
      <c r="H113" s="598"/>
      <c r="I113" s="345" t="s">
        <v>588</v>
      </c>
    </row>
    <row r="114" spans="1:9" ht="204.75">
      <c r="A114" s="340"/>
      <c r="B114" s="340"/>
      <c r="C114" s="598" t="s">
        <v>686</v>
      </c>
      <c r="D114" s="598"/>
      <c r="E114" s="598"/>
      <c r="F114" s="598"/>
      <c r="G114" s="605" t="s">
        <v>687</v>
      </c>
      <c r="H114" s="598"/>
      <c r="I114" s="340"/>
    </row>
    <row r="115" spans="1:9" ht="159.75" customHeight="1">
      <c r="A115" s="340"/>
      <c r="B115" s="340"/>
      <c r="C115" s="598" t="s">
        <v>688</v>
      </c>
      <c r="D115" s="340"/>
      <c r="E115" s="340"/>
      <c r="F115" s="345" t="s">
        <v>689</v>
      </c>
      <c r="G115" s="340"/>
      <c r="H115" s="345" t="s">
        <v>690</v>
      </c>
      <c r="I115" s="340"/>
    </row>
    <row r="116" spans="1:9" ht="100.5" customHeight="1">
      <c r="A116" s="340"/>
      <c r="B116" s="340"/>
      <c r="C116" s="598" t="s">
        <v>691</v>
      </c>
      <c r="D116" s="598"/>
      <c r="E116" s="598"/>
      <c r="F116" s="598"/>
      <c r="G116" s="598"/>
      <c r="H116" s="598"/>
      <c r="I116" s="340"/>
    </row>
    <row r="117" spans="1:9" ht="100.5" customHeight="1">
      <c r="A117" s="340"/>
      <c r="B117" s="340"/>
      <c r="C117" s="598" t="s">
        <v>692</v>
      </c>
      <c r="D117" s="598"/>
      <c r="E117" s="598"/>
      <c r="F117" s="598"/>
      <c r="G117" s="598"/>
      <c r="H117" s="598"/>
      <c r="I117" s="340"/>
    </row>
    <row r="118" spans="1:9" ht="272.25" customHeight="1">
      <c r="A118" s="340"/>
      <c r="B118" s="340"/>
      <c r="C118" s="598" t="s">
        <v>693</v>
      </c>
      <c r="D118" s="598"/>
      <c r="E118" s="598"/>
      <c r="F118" s="598"/>
      <c r="G118" s="598"/>
      <c r="H118" s="605" t="s">
        <v>694</v>
      </c>
      <c r="I118" s="340" t="s">
        <v>509</v>
      </c>
    </row>
    <row r="119" spans="1:9" ht="283.5">
      <c r="A119" s="340" t="s">
        <v>449</v>
      </c>
      <c r="B119" s="340"/>
      <c r="C119" s="598" t="s">
        <v>695</v>
      </c>
      <c r="D119" s="598"/>
      <c r="E119" s="598"/>
      <c r="F119" s="605" t="s">
        <v>696</v>
      </c>
      <c r="G119" s="598"/>
      <c r="H119" s="605" t="s">
        <v>697</v>
      </c>
      <c r="I119" s="340" t="s">
        <v>698</v>
      </c>
    </row>
    <row r="120" spans="1:9" ht="121.5" customHeight="1">
      <c r="A120" s="340"/>
      <c r="B120" s="340"/>
      <c r="C120" s="598" t="s">
        <v>699</v>
      </c>
      <c r="D120" s="598"/>
      <c r="E120" s="598"/>
      <c r="F120" s="605" t="s">
        <v>700</v>
      </c>
      <c r="G120" s="605" t="s">
        <v>701</v>
      </c>
      <c r="H120" s="605" t="s">
        <v>702</v>
      </c>
      <c r="I120" s="340" t="s">
        <v>509</v>
      </c>
    </row>
    <row r="121" spans="1:9" ht="15.75">
      <c r="A121" s="340"/>
      <c r="B121" s="340"/>
      <c r="C121" s="598" t="s">
        <v>703</v>
      </c>
      <c r="D121" s="598"/>
      <c r="E121" s="598"/>
      <c r="F121" s="598"/>
      <c r="G121" s="598"/>
      <c r="H121" s="598"/>
      <c r="I121" s="340" t="s">
        <v>509</v>
      </c>
    </row>
    <row r="122" spans="1:9" ht="138.75" customHeight="1">
      <c r="A122" s="340"/>
      <c r="B122" s="340"/>
      <c r="C122" s="598" t="s">
        <v>704</v>
      </c>
      <c r="D122" s="598"/>
      <c r="E122" s="598"/>
      <c r="F122" s="605" t="s">
        <v>705</v>
      </c>
      <c r="G122" s="598"/>
      <c r="H122" s="605" t="s">
        <v>706</v>
      </c>
      <c r="I122" s="340"/>
    </row>
    <row r="123" spans="1:9" ht="15.75">
      <c r="A123" s="340"/>
      <c r="B123" s="340"/>
      <c r="C123" s="598" t="s">
        <v>707</v>
      </c>
      <c r="D123" s="598"/>
      <c r="E123" s="598"/>
      <c r="F123" s="598"/>
      <c r="G123" s="598"/>
      <c r="H123" s="598"/>
      <c r="I123" s="340" t="s">
        <v>490</v>
      </c>
    </row>
    <row r="124" spans="1:9" ht="280.5" customHeight="1">
      <c r="A124" s="340"/>
      <c r="B124" s="340"/>
      <c r="C124" s="598" t="s">
        <v>708</v>
      </c>
      <c r="D124" s="598"/>
      <c r="E124" s="598"/>
      <c r="F124" s="605" t="s">
        <v>709</v>
      </c>
      <c r="G124" s="598"/>
      <c r="H124" s="605" t="s">
        <v>710</v>
      </c>
      <c r="I124" s="340"/>
    </row>
    <row r="125" spans="1:9" ht="59.25" customHeight="1">
      <c r="A125" s="340"/>
      <c r="B125" s="340"/>
      <c r="C125" s="598" t="s">
        <v>711</v>
      </c>
      <c r="D125" s="598"/>
      <c r="E125" s="598"/>
      <c r="F125" s="598"/>
      <c r="G125" s="598"/>
      <c r="H125" s="598"/>
      <c r="I125" s="340" t="s">
        <v>712</v>
      </c>
    </row>
    <row r="126" spans="1:9" ht="59.25" customHeight="1">
      <c r="A126" s="340"/>
      <c r="B126" s="340"/>
      <c r="C126" s="598" t="s">
        <v>713</v>
      </c>
      <c r="D126" s="598" t="s">
        <v>714</v>
      </c>
      <c r="E126" s="605" t="s">
        <v>715</v>
      </c>
      <c r="F126" s="598"/>
      <c r="G126" s="598"/>
      <c r="H126" s="598"/>
      <c r="I126" s="340"/>
    </row>
    <row r="127" spans="1:9" ht="59.25" customHeight="1">
      <c r="A127" s="340"/>
      <c r="B127" s="340"/>
      <c r="C127" s="598" t="s">
        <v>716</v>
      </c>
      <c r="D127" s="598"/>
      <c r="E127" s="598"/>
      <c r="F127" s="598"/>
      <c r="G127" s="598"/>
      <c r="H127" s="598"/>
      <c r="I127" s="340" t="s">
        <v>513</v>
      </c>
    </row>
    <row r="128" spans="1:9" ht="134.25" customHeight="1">
      <c r="A128" s="340"/>
      <c r="B128" s="340"/>
      <c r="C128" s="598" t="s">
        <v>717</v>
      </c>
      <c r="D128" s="598"/>
      <c r="E128" s="598"/>
      <c r="F128" s="605" t="s">
        <v>718</v>
      </c>
      <c r="G128" s="598"/>
      <c r="H128" s="598"/>
      <c r="I128" s="340" t="s">
        <v>513</v>
      </c>
    </row>
    <row r="129" spans="1:9" ht="15.75">
      <c r="A129" s="340"/>
      <c r="B129" s="340"/>
      <c r="C129" s="598" t="s">
        <v>719</v>
      </c>
      <c r="D129" s="598"/>
      <c r="E129" s="598"/>
      <c r="F129" s="598"/>
      <c r="G129" s="598"/>
      <c r="H129" s="598"/>
      <c r="I129" s="340" t="s">
        <v>509</v>
      </c>
    </row>
    <row r="130" spans="1:9" ht="15.75">
      <c r="A130" s="340"/>
      <c r="B130" s="340"/>
      <c r="C130" s="598" t="s">
        <v>720</v>
      </c>
      <c r="D130" s="598"/>
      <c r="E130" s="598"/>
      <c r="F130" s="598"/>
      <c r="G130" s="598"/>
      <c r="H130" s="598"/>
      <c r="I130" s="340" t="s">
        <v>513</v>
      </c>
    </row>
    <row r="131" spans="1:9" ht="15.75">
      <c r="A131" s="340"/>
      <c r="B131" s="340"/>
      <c r="C131" s="598" t="s">
        <v>721</v>
      </c>
      <c r="D131" s="598"/>
      <c r="E131" s="598"/>
      <c r="F131" s="598"/>
      <c r="G131" s="598"/>
      <c r="H131" s="598"/>
      <c r="I131" s="340"/>
    </row>
    <row r="132" spans="1:9" ht="113.25" customHeight="1">
      <c r="A132" s="340"/>
      <c r="B132" s="340"/>
      <c r="C132" s="598" t="s">
        <v>722</v>
      </c>
      <c r="D132" s="598"/>
      <c r="E132" s="598"/>
      <c r="F132" s="605" t="s">
        <v>723</v>
      </c>
      <c r="G132" s="598"/>
      <c r="H132" s="598"/>
      <c r="I132" s="340" t="s">
        <v>509</v>
      </c>
    </row>
    <row r="133" spans="1:9" ht="113.25" customHeight="1">
      <c r="A133" s="340"/>
      <c r="B133" s="340"/>
      <c r="C133" s="598" t="s">
        <v>724</v>
      </c>
      <c r="D133" s="598"/>
      <c r="E133" s="598"/>
      <c r="F133" s="605" t="s">
        <v>725</v>
      </c>
      <c r="G133" s="598"/>
      <c r="H133" s="598"/>
      <c r="I133" s="340" t="s">
        <v>509</v>
      </c>
    </row>
    <row r="134" spans="1:9" ht="113.25" customHeight="1">
      <c r="A134" s="340"/>
      <c r="B134" s="340"/>
      <c r="C134" s="598" t="s">
        <v>726</v>
      </c>
      <c r="D134" s="598"/>
      <c r="E134" s="598"/>
      <c r="F134" s="605" t="s">
        <v>727</v>
      </c>
      <c r="G134" s="598"/>
      <c r="H134" s="598" t="s">
        <v>710</v>
      </c>
      <c r="I134" s="340"/>
    </row>
    <row r="135" spans="1:9" ht="15.75">
      <c r="A135" s="340"/>
      <c r="B135" s="340"/>
      <c r="C135" s="598" t="s">
        <v>728</v>
      </c>
      <c r="D135" s="598"/>
      <c r="E135" s="598"/>
      <c r="F135" s="598"/>
      <c r="G135" s="598"/>
      <c r="H135" s="598"/>
      <c r="I135" s="340"/>
    </row>
    <row r="136" spans="1:9" ht="54.75" customHeight="1">
      <c r="A136" s="340"/>
      <c r="B136" s="340"/>
      <c r="C136" s="598" t="s">
        <v>729</v>
      </c>
      <c r="D136" s="598"/>
      <c r="E136" s="598"/>
      <c r="F136" s="598"/>
      <c r="G136" s="598"/>
      <c r="H136" s="598"/>
      <c r="I136" s="340" t="s">
        <v>490</v>
      </c>
    </row>
    <row r="137" spans="1:9" ht="393.75" customHeight="1">
      <c r="A137" s="340"/>
      <c r="B137" s="340"/>
      <c r="C137" s="598" t="s">
        <v>730</v>
      </c>
      <c r="D137" s="598"/>
      <c r="E137" s="598"/>
      <c r="F137" s="605" t="s">
        <v>731</v>
      </c>
      <c r="G137" s="598"/>
      <c r="H137" s="605" t="s">
        <v>732</v>
      </c>
      <c r="I137" s="340" t="s">
        <v>451</v>
      </c>
    </row>
    <row r="138" spans="1:9" ht="126">
      <c r="A138" s="340"/>
      <c r="B138" s="340"/>
      <c r="C138" s="598" t="s">
        <v>733</v>
      </c>
      <c r="D138" s="598"/>
      <c r="E138" s="598"/>
      <c r="F138" s="598"/>
      <c r="G138" s="598"/>
      <c r="H138" s="605" t="s">
        <v>734</v>
      </c>
      <c r="I138" s="340"/>
    </row>
    <row r="139" spans="1:9" ht="167.25" customHeight="1">
      <c r="A139" s="340"/>
      <c r="B139" s="341" t="s">
        <v>3</v>
      </c>
      <c r="C139" s="598" t="s">
        <v>735</v>
      </c>
      <c r="D139" s="598"/>
      <c r="E139" s="598"/>
      <c r="F139" s="605" t="s">
        <v>736</v>
      </c>
      <c r="G139" s="598"/>
      <c r="H139" s="605" t="s">
        <v>737</v>
      </c>
      <c r="I139" s="340" t="s">
        <v>509</v>
      </c>
    </row>
    <row r="140" spans="1:9" ht="167.25" customHeight="1">
      <c r="A140" s="340"/>
      <c r="B140" s="341" t="s">
        <v>3</v>
      </c>
      <c r="C140" s="598" t="s">
        <v>738</v>
      </c>
      <c r="D140" s="598"/>
      <c r="E140" s="598"/>
      <c r="F140" s="598"/>
      <c r="G140" s="598"/>
      <c r="H140" s="598"/>
      <c r="I140" s="598" t="s">
        <v>739</v>
      </c>
    </row>
    <row r="141" spans="1:9" ht="409.5" customHeight="1">
      <c r="A141" s="340"/>
      <c r="B141" s="340"/>
      <c r="C141" s="598" t="s">
        <v>740</v>
      </c>
      <c r="D141" s="598"/>
      <c r="E141" s="598"/>
      <c r="F141" s="605" t="s">
        <v>741</v>
      </c>
      <c r="G141" s="598"/>
      <c r="H141" s="605" t="s">
        <v>742</v>
      </c>
      <c r="I141" s="340"/>
    </row>
    <row r="142" spans="1:9" ht="97.5" customHeight="1">
      <c r="A142" s="340"/>
      <c r="B142" s="341" t="s">
        <v>743</v>
      </c>
      <c r="C142" s="598" t="s">
        <v>744</v>
      </c>
      <c r="D142" s="598"/>
      <c r="E142" s="598"/>
      <c r="F142" s="605" t="s">
        <v>745</v>
      </c>
      <c r="G142" s="598"/>
      <c r="H142" s="598"/>
      <c r="I142" s="340" t="s">
        <v>451</v>
      </c>
    </row>
    <row r="143" spans="1:9" ht="103.5" customHeight="1">
      <c r="A143" s="340"/>
      <c r="B143" s="340" t="s">
        <v>440</v>
      </c>
      <c r="C143" s="598" t="s">
        <v>746</v>
      </c>
      <c r="D143" s="598"/>
      <c r="E143" s="598"/>
      <c r="F143" s="598"/>
      <c r="G143" s="598"/>
      <c r="H143" s="605" t="s">
        <v>747</v>
      </c>
      <c r="I143" s="340"/>
    </row>
    <row r="144" spans="1:9" ht="171" customHeight="1">
      <c r="A144" s="340"/>
      <c r="B144" s="340"/>
      <c r="C144" s="598" t="s">
        <v>748</v>
      </c>
      <c r="D144" s="598"/>
      <c r="E144" s="598"/>
      <c r="F144" s="605" t="s">
        <v>749</v>
      </c>
      <c r="G144" s="598"/>
      <c r="H144" s="605" t="s">
        <v>750</v>
      </c>
      <c r="I144" s="345" t="s">
        <v>526</v>
      </c>
    </row>
    <row r="145" spans="1:9" ht="133.5" customHeight="1">
      <c r="A145" s="340"/>
      <c r="B145" s="340"/>
      <c r="C145" s="598" t="s">
        <v>751</v>
      </c>
      <c r="D145" s="598"/>
      <c r="E145" s="598"/>
      <c r="F145" s="605" t="s">
        <v>752</v>
      </c>
      <c r="G145" s="598"/>
      <c r="H145" s="598"/>
      <c r="I145" s="340" t="s">
        <v>498</v>
      </c>
    </row>
    <row r="146" spans="1:9" ht="87.75" customHeight="1">
      <c r="A146" s="340"/>
      <c r="B146" s="340"/>
      <c r="C146" s="598" t="s">
        <v>753</v>
      </c>
      <c r="D146" s="598"/>
      <c r="E146" s="598"/>
      <c r="F146" s="598"/>
      <c r="G146" s="598"/>
      <c r="H146" s="605" t="s">
        <v>754</v>
      </c>
      <c r="I146" s="598"/>
    </row>
    <row r="147" spans="1:9" ht="156.75" customHeight="1">
      <c r="A147" s="340"/>
      <c r="B147" s="340"/>
      <c r="C147" s="341" t="s">
        <v>755</v>
      </c>
      <c r="D147" s="341"/>
      <c r="E147" s="341"/>
      <c r="F147" s="341"/>
      <c r="G147" s="341"/>
      <c r="H147" s="341"/>
      <c r="I147" s="346"/>
    </row>
    <row r="148" spans="1:9" ht="156.75" customHeight="1">
      <c r="A148" s="340"/>
      <c r="B148" s="340"/>
      <c r="C148" s="598" t="s">
        <v>756</v>
      </c>
      <c r="D148" s="598"/>
      <c r="E148" s="598"/>
      <c r="F148" s="598"/>
      <c r="G148" s="598"/>
      <c r="H148" s="598"/>
      <c r="I148" s="340"/>
    </row>
    <row r="149" spans="1:9" ht="156.75" customHeight="1">
      <c r="A149" s="340"/>
      <c r="B149" s="340"/>
      <c r="C149" s="340" t="s">
        <v>757</v>
      </c>
      <c r="D149" s="340"/>
      <c r="E149" s="340"/>
      <c r="F149" s="345" t="s">
        <v>758</v>
      </c>
      <c r="G149" s="340"/>
      <c r="H149" s="345" t="s">
        <v>759</v>
      </c>
      <c r="I149" s="340" t="s">
        <v>498</v>
      </c>
    </row>
    <row r="150" spans="1:9" ht="156.75" customHeight="1">
      <c r="A150" s="340"/>
      <c r="B150" s="340" t="s">
        <v>440</v>
      </c>
      <c r="C150" s="598" t="s">
        <v>760</v>
      </c>
      <c r="D150" s="598"/>
      <c r="E150" s="598"/>
      <c r="F150" s="598"/>
      <c r="G150" s="598"/>
      <c r="H150" s="598"/>
      <c r="I150" s="340"/>
    </row>
    <row r="151" spans="1:9" ht="200.25" customHeight="1">
      <c r="A151" s="340"/>
      <c r="B151" s="340"/>
      <c r="C151" s="598" t="s">
        <v>761</v>
      </c>
      <c r="D151" s="598"/>
      <c r="E151" s="598"/>
      <c r="F151" s="605" t="s">
        <v>762</v>
      </c>
      <c r="G151" s="598"/>
      <c r="H151" s="605" t="s">
        <v>763</v>
      </c>
      <c r="I151" s="340" t="s">
        <v>451</v>
      </c>
    </row>
    <row r="152" spans="1:9">
      <c r="C152" s="597"/>
      <c r="E152" s="597"/>
      <c r="F152" s="597"/>
      <c r="G152" s="597"/>
      <c r="H152" s="597"/>
    </row>
    <row r="153" spans="1:9">
      <c r="C153" s="597"/>
      <c r="E153" s="597"/>
      <c r="F153" s="597"/>
      <c r="G153" s="597"/>
      <c r="H153" s="597"/>
    </row>
    <row r="154" spans="1:9">
      <c r="C154" s="597"/>
      <c r="E154" s="597"/>
      <c r="F154" s="597"/>
      <c r="G154" s="597"/>
      <c r="H154" s="597"/>
    </row>
    <row r="155" spans="1:9">
      <c r="C155" s="597"/>
      <c r="E155" s="597"/>
      <c r="F155" s="597"/>
      <c r="G155" s="597"/>
      <c r="H155" s="597"/>
    </row>
    <row r="156" spans="1:9">
      <c r="C156" s="597"/>
      <c r="E156" s="597"/>
      <c r="F156" s="597"/>
      <c r="G156" s="597"/>
      <c r="H156" s="597"/>
    </row>
    <row r="157" spans="1:9">
      <c r="C157" s="597"/>
      <c r="E157" s="597"/>
      <c r="F157" s="597"/>
      <c r="G157" s="597"/>
      <c r="H157" s="597"/>
    </row>
    <row r="158" spans="1:9">
      <c r="C158" s="597"/>
      <c r="E158" s="597"/>
      <c r="F158" s="597"/>
      <c r="G158" s="597"/>
      <c r="H158" s="597"/>
    </row>
    <row r="159" spans="1:9">
      <c r="C159" s="597"/>
      <c r="E159" s="597"/>
      <c r="F159" s="597"/>
      <c r="G159" s="597"/>
      <c r="H159" s="597"/>
    </row>
    <row r="160" spans="1:9">
      <c r="C160" s="597"/>
      <c r="E160" s="597"/>
      <c r="F160" s="597"/>
      <c r="G160" s="597"/>
      <c r="H160" s="597"/>
    </row>
    <row r="161" spans="3:8">
      <c r="C161" s="597"/>
      <c r="E161" s="597"/>
      <c r="F161" s="597"/>
      <c r="G161" s="597"/>
      <c r="H161" s="597"/>
    </row>
    <row r="162" spans="3:8">
      <c r="C162" s="597"/>
      <c r="E162" s="597"/>
      <c r="F162" s="597"/>
      <c r="G162" s="597"/>
      <c r="H162" s="597"/>
    </row>
    <row r="163" spans="3:8">
      <c r="C163" s="597"/>
      <c r="E163" s="597"/>
      <c r="F163" s="597"/>
      <c r="G163" s="597"/>
      <c r="H163" s="597"/>
    </row>
    <row r="164" spans="3:8">
      <c r="C164" s="597"/>
      <c r="E164" s="597"/>
      <c r="F164" s="597"/>
      <c r="G164" s="597"/>
      <c r="H164" s="597"/>
    </row>
    <row r="165" spans="3:8">
      <c r="C165" s="597"/>
      <c r="E165" s="597"/>
      <c r="F165" s="597"/>
      <c r="G165" s="597"/>
      <c r="H165" s="597"/>
    </row>
  </sheetData>
  <sortState xmlns:xlrd2="http://schemas.microsoft.com/office/spreadsheetml/2017/richdata2" ref="A9:I151">
    <sortCondition ref="C9:C151"/>
  </sortState>
  <phoneticPr fontId="62" type="noConversion"/>
  <hyperlinks>
    <hyperlink ref="D10" r:id="rId1" display="732-339-0071orders@akccommodities.com" xr:uid="{0F1B7DE3-CC52-435D-9DBF-26A9270D4CBF}"/>
    <hyperlink ref="E16" r:id="rId2" xr:uid="{FE0D9A41-6EE7-4159-8ABF-E6ECA4698260}"/>
    <hyperlink ref="E20" r:id="rId3" xr:uid="{ED998890-76C3-459D-969C-B61BEF4016FD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B370-134C-44DD-A0BC-A109DEB6E140}">
  <dimension ref="A4:O264"/>
  <sheetViews>
    <sheetView workbookViewId="0">
      <selection activeCell="E154" sqref="E154"/>
    </sheetView>
  </sheetViews>
  <sheetFormatPr defaultRowHeight="15"/>
  <cols>
    <col min="1" max="1" width="7.7109375" customWidth="1"/>
    <col min="2" max="2" width="7.42578125" customWidth="1"/>
    <col min="3" max="3" width="5" customWidth="1"/>
    <col min="4" max="4" width="34.28515625" style="30" customWidth="1"/>
    <col min="5" max="5" width="34.42578125" style="30" customWidth="1"/>
    <col min="6" max="6" width="25.7109375" style="30" customWidth="1"/>
    <col min="7" max="7" width="24.140625" style="30" customWidth="1"/>
    <col min="8" max="8" width="15.28515625" style="30" customWidth="1"/>
    <col min="9" max="9" width="19.7109375" style="30" customWidth="1"/>
    <col min="10" max="10" width="13" style="30" customWidth="1"/>
    <col min="11" max="12" width="17.5703125" style="30" customWidth="1"/>
    <col min="13" max="13" width="15.85546875" customWidth="1"/>
    <col min="14" max="14" width="1.42578125" customWidth="1"/>
    <col min="15" max="15" width="21.5703125" style="30" customWidth="1"/>
  </cols>
  <sheetData>
    <row r="4" spans="1:15">
      <c r="B4" t="s">
        <v>432</v>
      </c>
      <c r="F4" s="30" t="s">
        <v>764</v>
      </c>
    </row>
    <row r="5" spans="1:15">
      <c r="F5" s="30" t="s">
        <v>765</v>
      </c>
    </row>
    <row r="7" spans="1:15" ht="30.75" thickBot="1">
      <c r="E7" s="255" t="s">
        <v>439</v>
      </c>
      <c r="F7" s="255" t="s">
        <v>439</v>
      </c>
      <c r="G7" s="255" t="s">
        <v>439</v>
      </c>
      <c r="H7" s="255" t="s">
        <v>439</v>
      </c>
      <c r="I7" s="255" t="s">
        <v>439</v>
      </c>
      <c r="J7" s="255" t="s">
        <v>439</v>
      </c>
      <c r="K7" s="255" t="s">
        <v>439</v>
      </c>
      <c r="O7" s="256" t="s">
        <v>766</v>
      </c>
    </row>
    <row r="8" spans="1:15" ht="31.5" customHeight="1" thickBot="1">
      <c r="D8" s="257" t="s">
        <v>433</v>
      </c>
      <c r="E8" s="258" t="s">
        <v>767</v>
      </c>
      <c r="F8" s="259" t="s">
        <v>768</v>
      </c>
      <c r="G8" s="259" t="s">
        <v>769</v>
      </c>
      <c r="H8" s="259" t="s">
        <v>480</v>
      </c>
      <c r="I8" s="258" t="s">
        <v>456</v>
      </c>
      <c r="J8" s="260" t="s">
        <v>770</v>
      </c>
      <c r="K8" s="260" t="s">
        <v>771</v>
      </c>
      <c r="L8" s="261" t="s">
        <v>772</v>
      </c>
      <c r="M8" s="262" t="s">
        <v>526</v>
      </c>
      <c r="N8" s="263"/>
      <c r="O8" s="264" t="s">
        <v>773</v>
      </c>
    </row>
    <row r="9" spans="1:15" ht="15.75">
      <c r="A9" t="s">
        <v>442</v>
      </c>
      <c r="C9" s="30">
        <v>1</v>
      </c>
      <c r="D9" s="265" t="s">
        <v>443</v>
      </c>
      <c r="E9" s="266"/>
      <c r="F9" s="267"/>
      <c r="G9" s="267"/>
      <c r="H9" s="267"/>
      <c r="I9" s="266"/>
      <c r="J9" s="268"/>
      <c r="K9" s="269"/>
      <c r="L9" s="266"/>
      <c r="M9" s="270"/>
      <c r="N9" s="263"/>
      <c r="O9" s="266"/>
    </row>
    <row r="10" spans="1:15" ht="15.75">
      <c r="A10" t="s">
        <v>449</v>
      </c>
      <c r="C10" s="30">
        <f>C9+1</f>
        <v>2</v>
      </c>
      <c r="D10" s="271" t="s">
        <v>450</v>
      </c>
      <c r="E10" s="272" t="s">
        <v>450</v>
      </c>
      <c r="F10" s="273"/>
      <c r="G10" s="273"/>
      <c r="H10" s="273"/>
      <c r="I10" s="274"/>
      <c r="J10" s="275"/>
      <c r="L10" s="274"/>
      <c r="M10" s="276"/>
      <c r="N10" s="263"/>
      <c r="O10" s="274"/>
    </row>
    <row r="11" spans="1:15" ht="15.75">
      <c r="A11" t="s">
        <v>442</v>
      </c>
      <c r="C11" s="30">
        <f t="shared" ref="C11:C74" si="0">C10+1</f>
        <v>3</v>
      </c>
      <c r="D11" s="271" t="s">
        <v>454</v>
      </c>
      <c r="E11" s="274"/>
      <c r="F11" s="273"/>
      <c r="G11" s="273"/>
      <c r="H11" s="273"/>
      <c r="I11" s="274"/>
      <c r="J11" s="275"/>
      <c r="L11" s="274"/>
      <c r="M11" s="276"/>
      <c r="N11" s="263"/>
      <c r="O11" s="274"/>
    </row>
    <row r="12" spans="1:15" ht="15.75">
      <c r="A12" t="s">
        <v>442</v>
      </c>
      <c r="C12" s="30">
        <f t="shared" si="0"/>
        <v>4</v>
      </c>
      <c r="D12" s="271" t="s">
        <v>455</v>
      </c>
      <c r="E12" s="274"/>
      <c r="F12" s="273"/>
      <c r="G12" s="273"/>
      <c r="H12" s="273"/>
      <c r="I12" s="277" t="s">
        <v>455</v>
      </c>
      <c r="J12" s="275"/>
      <c r="L12" s="274"/>
      <c r="M12" s="276"/>
      <c r="N12" s="263"/>
      <c r="O12" s="274"/>
    </row>
    <row r="13" spans="1:15" ht="15.75">
      <c r="A13" t="s">
        <v>442</v>
      </c>
      <c r="C13" s="30">
        <f t="shared" si="0"/>
        <v>5</v>
      </c>
      <c r="D13" s="278" t="s">
        <v>457</v>
      </c>
      <c r="E13" s="274"/>
      <c r="F13" s="273"/>
      <c r="G13" s="273"/>
      <c r="H13" s="273"/>
      <c r="I13" s="274"/>
      <c r="J13" s="275"/>
      <c r="L13" s="274"/>
      <c r="M13" s="276"/>
      <c r="N13" s="263"/>
      <c r="O13" s="274"/>
    </row>
    <row r="14" spans="1:15" ht="15.75">
      <c r="A14" t="s">
        <v>449</v>
      </c>
      <c r="C14" s="30">
        <f t="shared" si="0"/>
        <v>6</v>
      </c>
      <c r="D14" s="271" t="s">
        <v>463</v>
      </c>
      <c r="E14" s="272" t="s">
        <v>463</v>
      </c>
      <c r="F14" s="273"/>
      <c r="G14" s="273"/>
      <c r="H14" s="273"/>
      <c r="I14" s="274"/>
      <c r="J14" s="275"/>
      <c r="L14" s="274"/>
      <c r="M14" s="276"/>
      <c r="N14" s="263"/>
      <c r="O14" s="279" t="s">
        <v>463</v>
      </c>
    </row>
    <row r="15" spans="1:15" ht="15.75">
      <c r="A15" t="s">
        <v>466</v>
      </c>
      <c r="C15" s="30">
        <f t="shared" si="0"/>
        <v>7</v>
      </c>
      <c r="D15" s="278" t="s">
        <v>774</v>
      </c>
      <c r="E15" s="274"/>
      <c r="F15" s="273"/>
      <c r="G15" s="273"/>
      <c r="H15" s="273"/>
      <c r="I15" s="274"/>
      <c r="J15" s="275"/>
      <c r="L15" s="274"/>
      <c r="M15" s="276"/>
      <c r="N15" s="263"/>
      <c r="O15" s="274"/>
    </row>
    <row r="16" spans="1:15" ht="15.75">
      <c r="A16" t="s">
        <v>473</v>
      </c>
      <c r="C16" s="30">
        <f t="shared" si="0"/>
        <v>8</v>
      </c>
      <c r="D16" s="280" t="s">
        <v>474</v>
      </c>
      <c r="E16" s="274"/>
      <c r="F16" s="273"/>
      <c r="G16" s="273"/>
      <c r="H16" s="281" t="s">
        <v>474</v>
      </c>
      <c r="I16" s="274"/>
      <c r="J16" s="275"/>
      <c r="L16" s="274"/>
      <c r="M16" s="276"/>
      <c r="N16" s="263"/>
      <c r="O16" s="274"/>
    </row>
    <row r="17" spans="1:15" ht="15.75">
      <c r="A17" t="s">
        <v>442</v>
      </c>
      <c r="C17" s="30">
        <f t="shared" si="0"/>
        <v>9</v>
      </c>
      <c r="D17" s="271" t="s">
        <v>481</v>
      </c>
      <c r="E17" s="274"/>
      <c r="F17" s="273"/>
      <c r="G17" s="273"/>
      <c r="H17" s="273"/>
      <c r="I17" s="274"/>
      <c r="J17" s="275"/>
      <c r="L17" s="274"/>
      <c r="M17" s="276"/>
      <c r="N17" s="263"/>
      <c r="O17" s="274"/>
    </row>
    <row r="18" spans="1:15" ht="15.75">
      <c r="A18" t="s">
        <v>449</v>
      </c>
      <c r="C18" s="30">
        <f t="shared" si="0"/>
        <v>10</v>
      </c>
      <c r="D18" s="271" t="s">
        <v>486</v>
      </c>
      <c r="E18" s="272" t="s">
        <v>486</v>
      </c>
      <c r="F18" s="273"/>
      <c r="G18" s="273"/>
      <c r="H18" s="273"/>
      <c r="I18" s="274"/>
      <c r="J18" s="275"/>
      <c r="L18" s="274"/>
      <c r="M18" s="276"/>
      <c r="N18" s="263"/>
      <c r="O18" s="279" t="s">
        <v>486</v>
      </c>
    </row>
    <row r="19" spans="1:15" ht="15.75">
      <c r="A19" t="s">
        <v>442</v>
      </c>
      <c r="C19" s="30">
        <f t="shared" si="0"/>
        <v>11</v>
      </c>
      <c r="D19" s="271" t="s">
        <v>489</v>
      </c>
      <c r="E19" s="274"/>
      <c r="F19" s="273"/>
      <c r="G19" s="273"/>
      <c r="H19" s="273"/>
      <c r="I19" s="274"/>
      <c r="J19" s="275"/>
      <c r="K19" s="282" t="s">
        <v>775</v>
      </c>
      <c r="L19" s="274"/>
      <c r="M19" s="276"/>
      <c r="N19" s="263"/>
      <c r="O19" s="274"/>
    </row>
    <row r="20" spans="1:15" ht="15.75">
      <c r="C20" s="30">
        <f t="shared" si="0"/>
        <v>12</v>
      </c>
      <c r="D20" s="283" t="s">
        <v>492</v>
      </c>
      <c r="E20" s="284" t="s">
        <v>492</v>
      </c>
      <c r="G20" s="273"/>
      <c r="H20" s="273"/>
      <c r="I20" s="274"/>
      <c r="J20" s="275"/>
      <c r="L20" s="274"/>
      <c r="M20" s="276"/>
      <c r="N20" s="263"/>
      <c r="O20" s="274"/>
    </row>
    <row r="21" spans="1:15" ht="15.75">
      <c r="A21" t="s">
        <v>449</v>
      </c>
      <c r="C21" s="30">
        <f t="shared" si="0"/>
        <v>13</v>
      </c>
      <c r="D21" s="278" t="s">
        <v>495</v>
      </c>
      <c r="E21" s="274"/>
      <c r="F21" s="273"/>
      <c r="G21" s="285" t="s">
        <v>495</v>
      </c>
      <c r="H21" s="273"/>
      <c r="I21" s="274"/>
      <c r="J21" s="275"/>
      <c r="L21" s="274"/>
      <c r="M21" s="276"/>
      <c r="N21" s="263"/>
      <c r="O21" s="274"/>
    </row>
    <row r="22" spans="1:15" ht="15.75">
      <c r="B22" t="s">
        <v>499</v>
      </c>
      <c r="C22" s="30">
        <f t="shared" si="0"/>
        <v>14</v>
      </c>
      <c r="D22" s="271" t="s">
        <v>500</v>
      </c>
      <c r="E22" s="274"/>
      <c r="F22" s="273"/>
      <c r="G22" s="273"/>
      <c r="H22" s="273"/>
      <c r="I22" s="274"/>
      <c r="J22" s="275"/>
      <c r="L22" s="274"/>
      <c r="M22" s="276"/>
      <c r="N22" s="263"/>
      <c r="O22" s="274"/>
    </row>
    <row r="23" spans="1:15" ht="15.75">
      <c r="C23" s="30">
        <f t="shared" si="0"/>
        <v>15</v>
      </c>
      <c r="D23" s="286" t="s">
        <v>505</v>
      </c>
      <c r="E23" s="287" t="s">
        <v>505</v>
      </c>
      <c r="F23" s="288"/>
      <c r="L23" s="274"/>
      <c r="M23" s="276"/>
      <c r="N23" s="263"/>
    </row>
    <row r="24" spans="1:15" ht="15.75">
      <c r="A24" t="s">
        <v>442</v>
      </c>
      <c r="C24" s="30">
        <f t="shared" si="0"/>
        <v>16</v>
      </c>
      <c r="D24" s="271" t="s">
        <v>508</v>
      </c>
      <c r="E24" s="274"/>
      <c r="F24" s="281" t="s">
        <v>508</v>
      </c>
      <c r="G24" s="273"/>
      <c r="H24" s="273"/>
      <c r="I24" s="274"/>
      <c r="J24" s="275"/>
      <c r="L24" s="274"/>
      <c r="M24" s="276"/>
      <c r="N24" s="263"/>
      <c r="O24" s="274"/>
    </row>
    <row r="25" spans="1:15" ht="15.75">
      <c r="A25" t="s">
        <v>449</v>
      </c>
      <c r="C25" s="30">
        <f t="shared" si="0"/>
        <v>17</v>
      </c>
      <c r="D25" s="271" t="s">
        <v>510</v>
      </c>
      <c r="E25" s="272" t="s">
        <v>510</v>
      </c>
      <c r="F25" s="273"/>
      <c r="G25" s="273"/>
      <c r="H25" s="273"/>
      <c r="I25" s="274"/>
      <c r="J25" s="275"/>
      <c r="L25" s="274"/>
      <c r="M25" s="276"/>
      <c r="N25" s="263"/>
      <c r="O25" s="274"/>
    </row>
    <row r="26" spans="1:15" ht="15.75">
      <c r="A26" t="s">
        <v>449</v>
      </c>
      <c r="C26" s="30">
        <f t="shared" si="0"/>
        <v>18</v>
      </c>
      <c r="D26" s="271" t="s">
        <v>520</v>
      </c>
      <c r="E26" s="272" t="s">
        <v>520</v>
      </c>
      <c r="F26" s="273"/>
      <c r="G26" s="273"/>
      <c r="H26" s="273"/>
      <c r="I26" s="274"/>
      <c r="J26" s="275"/>
      <c r="L26" s="274"/>
      <c r="M26" s="276"/>
      <c r="N26" s="263"/>
      <c r="O26" s="274"/>
    </row>
    <row r="27" spans="1:15" ht="15.75">
      <c r="B27" t="s">
        <v>523</v>
      </c>
      <c r="C27" s="30">
        <f t="shared" si="0"/>
        <v>19</v>
      </c>
      <c r="D27" s="289" t="s">
        <v>524</v>
      </c>
      <c r="E27" s="272"/>
      <c r="F27" s="273"/>
      <c r="G27" s="273"/>
      <c r="H27" s="273"/>
      <c r="I27" s="274"/>
      <c r="J27" s="275"/>
      <c r="L27" s="274"/>
      <c r="M27" s="290" t="s">
        <v>524</v>
      </c>
      <c r="N27" s="263"/>
      <c r="O27" s="274"/>
    </row>
    <row r="28" spans="1:15" ht="15.75">
      <c r="B28" t="s">
        <v>523</v>
      </c>
      <c r="C28" s="30">
        <f t="shared" si="0"/>
        <v>20</v>
      </c>
      <c r="D28" s="271" t="s">
        <v>527</v>
      </c>
      <c r="E28" s="291" t="s">
        <v>527</v>
      </c>
      <c r="F28" s="273"/>
      <c r="G28" s="273"/>
      <c r="H28" s="273"/>
      <c r="I28" s="274"/>
      <c r="J28" s="275"/>
      <c r="L28" s="274"/>
      <c r="M28" s="276"/>
      <c r="N28" s="263"/>
      <c r="O28" s="274"/>
    </row>
    <row r="29" spans="1:15" ht="15.75">
      <c r="C29" s="30">
        <f t="shared" si="0"/>
        <v>21</v>
      </c>
      <c r="D29" s="271" t="s">
        <v>514</v>
      </c>
      <c r="E29" s="292" t="s">
        <v>514</v>
      </c>
      <c r="F29" s="273"/>
      <c r="G29" s="273"/>
      <c r="H29" s="273"/>
      <c r="I29" s="274"/>
      <c r="J29" s="275"/>
      <c r="L29" s="274"/>
      <c r="M29" s="276"/>
      <c r="N29" s="263"/>
      <c r="O29" s="274"/>
    </row>
    <row r="30" spans="1:15" ht="15.75">
      <c r="A30" t="s">
        <v>442</v>
      </c>
      <c r="C30" s="30">
        <f t="shared" si="0"/>
        <v>22</v>
      </c>
      <c r="D30" s="271" t="s">
        <v>517</v>
      </c>
      <c r="E30" s="274"/>
      <c r="F30" s="281" t="s">
        <v>517</v>
      </c>
      <c r="G30" s="273"/>
      <c r="H30" s="273"/>
      <c r="I30" s="274"/>
      <c r="J30" s="275" t="s">
        <v>776</v>
      </c>
      <c r="L30" s="274"/>
      <c r="M30" s="276"/>
      <c r="N30" s="263"/>
      <c r="O30" s="274"/>
    </row>
    <row r="31" spans="1:15" ht="15.75">
      <c r="A31" t="s">
        <v>449</v>
      </c>
      <c r="C31" s="30">
        <f t="shared" si="0"/>
        <v>23</v>
      </c>
      <c r="D31" s="271" t="s">
        <v>529</v>
      </c>
      <c r="E31" s="272" t="s">
        <v>529</v>
      </c>
      <c r="F31" s="273"/>
      <c r="G31" s="273"/>
      <c r="H31" s="273"/>
      <c r="I31" s="274"/>
      <c r="J31" s="275"/>
      <c r="L31" s="274"/>
      <c r="M31" s="276"/>
      <c r="N31" s="263"/>
      <c r="O31" s="274"/>
    </row>
    <row r="32" spans="1:15" ht="15.75">
      <c r="A32" t="s">
        <v>449</v>
      </c>
      <c r="B32" s="293" t="s">
        <v>777</v>
      </c>
      <c r="C32" s="30">
        <f t="shared" si="0"/>
        <v>24</v>
      </c>
      <c r="D32" s="271" t="s">
        <v>530</v>
      </c>
      <c r="E32" s="272" t="s">
        <v>530</v>
      </c>
      <c r="F32" s="272" t="s">
        <v>530</v>
      </c>
      <c r="G32" s="273"/>
      <c r="H32" s="273"/>
      <c r="I32" s="274"/>
      <c r="J32" s="275"/>
      <c r="L32" s="274"/>
      <c r="M32" s="276"/>
      <c r="N32" s="263"/>
      <c r="O32" s="274"/>
    </row>
    <row r="33" spans="1:15" ht="15.75">
      <c r="A33" t="s">
        <v>449</v>
      </c>
      <c r="C33" s="30">
        <f t="shared" si="0"/>
        <v>25</v>
      </c>
      <c r="D33" s="271" t="s">
        <v>534</v>
      </c>
      <c r="E33" s="272" t="s">
        <v>534</v>
      </c>
      <c r="F33" s="273"/>
      <c r="G33" s="273"/>
      <c r="H33" s="273"/>
      <c r="I33" s="274"/>
      <c r="J33" s="275"/>
      <c r="L33" s="274"/>
      <c r="M33" s="276"/>
      <c r="N33" s="263"/>
      <c r="O33" s="279" t="s">
        <v>534</v>
      </c>
    </row>
    <row r="34" spans="1:15" ht="15.75">
      <c r="C34" s="30">
        <f t="shared" si="0"/>
        <v>26</v>
      </c>
      <c r="D34" s="271" t="s">
        <v>532</v>
      </c>
      <c r="E34" s="274"/>
      <c r="F34" s="284" t="s">
        <v>532</v>
      </c>
      <c r="H34" s="273"/>
      <c r="I34" s="274"/>
      <c r="J34" s="275"/>
      <c r="L34" s="274"/>
      <c r="M34" s="276"/>
      <c r="N34" s="263"/>
      <c r="O34" s="274"/>
    </row>
    <row r="35" spans="1:15" ht="15.75">
      <c r="B35" t="s">
        <v>778</v>
      </c>
      <c r="C35" s="30">
        <f t="shared" si="0"/>
        <v>27</v>
      </c>
      <c r="D35" s="271" t="s">
        <v>537</v>
      </c>
      <c r="E35" s="274"/>
      <c r="F35" s="273"/>
      <c r="G35" s="273"/>
      <c r="H35" s="273"/>
      <c r="I35" s="274"/>
      <c r="J35" s="275"/>
      <c r="L35" s="274"/>
      <c r="M35" s="276"/>
      <c r="N35" s="263"/>
      <c r="O35" s="274"/>
    </row>
    <row r="36" spans="1:15" ht="15.75">
      <c r="A36" t="s">
        <v>442</v>
      </c>
      <c r="C36" s="30">
        <f t="shared" si="0"/>
        <v>28</v>
      </c>
      <c r="D36" s="278" t="s">
        <v>538</v>
      </c>
      <c r="E36" s="274"/>
      <c r="F36" s="273"/>
      <c r="G36" s="273"/>
      <c r="H36" s="273"/>
      <c r="I36" s="274"/>
      <c r="J36" s="275"/>
      <c r="L36" s="274"/>
      <c r="M36" s="276"/>
      <c r="N36" s="263"/>
      <c r="O36" s="274"/>
    </row>
    <row r="37" spans="1:15" ht="15.75">
      <c r="C37" s="30">
        <f t="shared" si="0"/>
        <v>29</v>
      </c>
      <c r="D37" s="271" t="s">
        <v>540</v>
      </c>
      <c r="E37" s="274"/>
      <c r="F37" s="273"/>
      <c r="G37" s="273"/>
      <c r="H37" s="273"/>
      <c r="I37" s="274"/>
      <c r="J37" s="275"/>
      <c r="L37" s="274"/>
      <c r="M37" s="276"/>
      <c r="N37" s="263"/>
      <c r="O37" s="274"/>
    </row>
    <row r="38" spans="1:15" ht="15.75">
      <c r="C38" s="30">
        <f t="shared" si="0"/>
        <v>30</v>
      </c>
      <c r="D38" s="271" t="s">
        <v>542</v>
      </c>
      <c r="E38" s="274"/>
      <c r="F38" s="294" t="s">
        <v>542</v>
      </c>
      <c r="H38" s="273"/>
      <c r="I38" s="274"/>
      <c r="J38" s="275"/>
      <c r="L38" s="274"/>
      <c r="M38" s="276"/>
      <c r="N38" s="263"/>
      <c r="O38" s="274"/>
    </row>
    <row r="39" spans="1:15" ht="15.75">
      <c r="C39" s="30">
        <f t="shared" si="0"/>
        <v>31</v>
      </c>
      <c r="D39" s="271" t="s">
        <v>546</v>
      </c>
      <c r="E39" s="272" t="s">
        <v>546</v>
      </c>
      <c r="F39" s="273"/>
      <c r="G39" s="273"/>
      <c r="H39" s="273"/>
      <c r="I39" s="274"/>
      <c r="J39" s="275"/>
      <c r="L39" s="274"/>
      <c r="M39" s="276"/>
      <c r="N39" s="263"/>
      <c r="O39" s="274"/>
    </row>
    <row r="40" spans="1:15" ht="15.75">
      <c r="C40" s="30">
        <f t="shared" si="0"/>
        <v>32</v>
      </c>
      <c r="D40" s="271" t="s">
        <v>554</v>
      </c>
      <c r="E40" s="274"/>
      <c r="F40" s="273"/>
      <c r="G40" s="281" t="s">
        <v>554</v>
      </c>
      <c r="H40" s="273"/>
      <c r="I40" s="274"/>
      <c r="J40" s="275"/>
      <c r="L40" s="274"/>
      <c r="M40" s="276"/>
      <c r="N40" s="263"/>
      <c r="O40" s="274"/>
    </row>
    <row r="41" spans="1:15" ht="15.75">
      <c r="B41" t="s">
        <v>548</v>
      </c>
      <c r="C41" s="30">
        <f t="shared" si="0"/>
        <v>33</v>
      </c>
      <c r="D41" s="271" t="s">
        <v>552</v>
      </c>
      <c r="E41" s="294" t="s">
        <v>552</v>
      </c>
      <c r="F41" s="273"/>
      <c r="G41" s="273"/>
      <c r="H41" s="273"/>
      <c r="I41" s="274"/>
      <c r="J41" s="275"/>
      <c r="L41" s="274"/>
      <c r="M41" s="276"/>
      <c r="N41" s="263"/>
      <c r="O41" s="274"/>
    </row>
    <row r="42" spans="1:15" ht="15.75">
      <c r="B42" t="s">
        <v>548</v>
      </c>
      <c r="C42" s="30">
        <f t="shared" si="0"/>
        <v>34</v>
      </c>
      <c r="D42" s="271" t="s">
        <v>549</v>
      </c>
      <c r="E42" s="294" t="s">
        <v>549</v>
      </c>
      <c r="F42" s="273"/>
      <c r="G42" s="273"/>
      <c r="H42" s="273"/>
      <c r="I42" s="274"/>
      <c r="J42" s="275"/>
      <c r="L42" s="274"/>
      <c r="M42" s="276"/>
      <c r="N42" s="263"/>
      <c r="O42" s="274"/>
    </row>
    <row r="43" spans="1:15" ht="15.75">
      <c r="B43" s="28" t="s">
        <v>779</v>
      </c>
      <c r="C43" s="30">
        <f t="shared" si="0"/>
        <v>35</v>
      </c>
      <c r="D43" s="271" t="s">
        <v>555</v>
      </c>
      <c r="E43" s="294" t="s">
        <v>555</v>
      </c>
      <c r="F43" s="273"/>
      <c r="G43" s="273"/>
      <c r="H43" s="273"/>
      <c r="I43" s="274"/>
      <c r="J43" s="275"/>
      <c r="L43" s="274"/>
      <c r="M43" s="276"/>
      <c r="N43" s="263"/>
      <c r="O43" s="274"/>
    </row>
    <row r="44" spans="1:15" ht="15.75">
      <c r="B44" s="28" t="s">
        <v>559</v>
      </c>
      <c r="C44" s="30">
        <f t="shared" si="0"/>
        <v>36</v>
      </c>
      <c r="D44" s="271" t="s">
        <v>560</v>
      </c>
      <c r="E44" s="295" t="s">
        <v>561</v>
      </c>
      <c r="F44" s="273"/>
      <c r="G44" s="273"/>
      <c r="H44" s="273"/>
      <c r="I44" s="274"/>
      <c r="J44" s="275"/>
      <c r="L44" s="274"/>
      <c r="M44" s="276"/>
      <c r="N44" s="263"/>
      <c r="O44" s="274"/>
    </row>
    <row r="45" spans="1:15" ht="15.75">
      <c r="B45" s="28" t="s">
        <v>779</v>
      </c>
      <c r="C45" s="30">
        <f t="shared" si="0"/>
        <v>37</v>
      </c>
      <c r="D45" s="271" t="s">
        <v>557</v>
      </c>
      <c r="E45" s="274"/>
      <c r="F45" s="294" t="s">
        <v>557</v>
      </c>
      <c r="G45" s="273"/>
      <c r="H45" s="273"/>
      <c r="I45" s="274"/>
      <c r="J45" s="275"/>
      <c r="L45" s="274"/>
      <c r="M45" s="276"/>
      <c r="N45" s="263"/>
      <c r="O45" s="274"/>
    </row>
    <row r="46" spans="1:15" ht="15.75">
      <c r="B46" t="s">
        <v>3</v>
      </c>
      <c r="C46" s="30">
        <f t="shared" si="0"/>
        <v>38</v>
      </c>
      <c r="D46" s="271" t="s">
        <v>780</v>
      </c>
      <c r="E46" s="274"/>
      <c r="F46" s="273"/>
      <c r="G46" s="273"/>
      <c r="H46" s="273"/>
      <c r="I46" s="274"/>
      <c r="J46" s="275"/>
      <c r="L46" s="274"/>
      <c r="M46" s="276"/>
      <c r="N46" s="263"/>
      <c r="O46" s="279" t="s">
        <v>780</v>
      </c>
    </row>
    <row r="47" spans="1:15" ht="15.75">
      <c r="B47" s="28" t="s">
        <v>567</v>
      </c>
      <c r="C47" s="30">
        <f t="shared" si="0"/>
        <v>39</v>
      </c>
      <c r="D47" s="271" t="s">
        <v>568</v>
      </c>
      <c r="E47" s="274"/>
      <c r="F47" s="273"/>
      <c r="G47" s="291" t="s">
        <v>568</v>
      </c>
      <c r="H47" s="273"/>
      <c r="I47" s="274"/>
      <c r="J47" s="275"/>
      <c r="L47" s="274"/>
      <c r="M47" s="276"/>
      <c r="N47" s="263"/>
      <c r="O47" s="296"/>
    </row>
    <row r="48" spans="1:15" ht="15.75">
      <c r="A48" t="s">
        <v>442</v>
      </c>
      <c r="C48" s="30">
        <f t="shared" si="0"/>
        <v>40</v>
      </c>
      <c r="D48" s="280" t="s">
        <v>570</v>
      </c>
      <c r="E48" s="274"/>
      <c r="F48" s="273"/>
      <c r="G48" s="273"/>
      <c r="H48" s="273"/>
      <c r="I48" s="274"/>
      <c r="J48" s="275"/>
      <c r="L48" s="274"/>
      <c r="M48" s="276"/>
      <c r="N48" s="263"/>
      <c r="O48" s="274"/>
    </row>
    <row r="49" spans="1:15" ht="15.75">
      <c r="A49" t="s">
        <v>449</v>
      </c>
      <c r="C49" s="30">
        <f t="shared" si="0"/>
        <v>41</v>
      </c>
      <c r="D49" s="271" t="s">
        <v>573</v>
      </c>
      <c r="E49" s="292" t="s">
        <v>573</v>
      </c>
      <c r="F49" s="273"/>
      <c r="G49" s="273"/>
      <c r="H49" s="273"/>
      <c r="I49" s="274"/>
      <c r="J49" s="275"/>
      <c r="L49" s="274"/>
      <c r="M49" s="276"/>
      <c r="N49" s="263"/>
      <c r="O49" s="274"/>
    </row>
    <row r="50" spans="1:15" ht="15.75">
      <c r="A50" t="s">
        <v>449</v>
      </c>
      <c r="B50" t="s">
        <v>3</v>
      </c>
      <c r="C50" s="30">
        <f t="shared" si="0"/>
        <v>42</v>
      </c>
      <c r="D50" s="271" t="s">
        <v>576</v>
      </c>
      <c r="E50" s="272" t="s">
        <v>576</v>
      </c>
      <c r="F50" s="273"/>
      <c r="G50" s="273"/>
      <c r="H50" s="273"/>
      <c r="I50" s="274"/>
      <c r="J50" s="275"/>
      <c r="L50" s="274"/>
      <c r="M50" s="276"/>
      <c r="N50" s="263"/>
      <c r="O50" s="279" t="s">
        <v>576</v>
      </c>
    </row>
    <row r="51" spans="1:15" ht="15.75">
      <c r="A51" t="s">
        <v>449</v>
      </c>
      <c r="C51" s="30">
        <f t="shared" si="0"/>
        <v>43</v>
      </c>
      <c r="D51" s="271" t="s">
        <v>581</v>
      </c>
      <c r="E51" s="272" t="s">
        <v>581</v>
      </c>
      <c r="F51" s="273"/>
      <c r="G51" s="273"/>
      <c r="H51" s="273"/>
      <c r="I51" s="274"/>
      <c r="J51" s="275"/>
      <c r="L51" s="274"/>
      <c r="M51" s="276"/>
      <c r="N51" s="263"/>
      <c r="O51" s="279" t="s">
        <v>581</v>
      </c>
    </row>
    <row r="52" spans="1:15" ht="15.75">
      <c r="C52" s="30">
        <f t="shared" si="0"/>
        <v>44</v>
      </c>
      <c r="D52" s="271" t="s">
        <v>582</v>
      </c>
      <c r="E52" s="274"/>
      <c r="F52" s="273" t="s">
        <v>3</v>
      </c>
      <c r="G52" s="273"/>
      <c r="H52" s="273"/>
      <c r="I52" s="274"/>
      <c r="J52" s="275"/>
      <c r="L52" s="274"/>
      <c r="M52" s="297" t="s">
        <v>582</v>
      </c>
      <c r="N52" s="263"/>
      <c r="O52" s="297" t="s">
        <v>582</v>
      </c>
    </row>
    <row r="53" spans="1:15" ht="15.75">
      <c r="C53" s="30">
        <f t="shared" si="0"/>
        <v>45</v>
      </c>
      <c r="D53" s="271" t="s">
        <v>584</v>
      </c>
      <c r="E53" s="274"/>
      <c r="F53" s="281" t="s">
        <v>584</v>
      </c>
      <c r="G53" s="273"/>
      <c r="H53" s="273"/>
      <c r="I53" s="274"/>
      <c r="J53" s="275"/>
      <c r="L53" s="274"/>
      <c r="M53" s="276"/>
      <c r="N53" s="263"/>
      <c r="O53" s="274"/>
    </row>
    <row r="54" spans="1:15" ht="15.75">
      <c r="A54" t="s">
        <v>473</v>
      </c>
      <c r="C54" s="30">
        <f t="shared" si="0"/>
        <v>46</v>
      </c>
      <c r="D54" s="278" t="s">
        <v>585</v>
      </c>
      <c r="E54" s="274"/>
      <c r="F54" s="273"/>
      <c r="G54" s="273"/>
      <c r="H54" s="273"/>
      <c r="I54" s="274"/>
      <c r="J54" s="275"/>
      <c r="L54" s="274"/>
      <c r="M54" s="276"/>
      <c r="N54" s="263"/>
      <c r="O54" s="274"/>
    </row>
    <row r="55" spans="1:15" ht="15.75">
      <c r="A55" t="s">
        <v>449</v>
      </c>
      <c r="C55" s="30">
        <f t="shared" si="0"/>
        <v>47</v>
      </c>
      <c r="D55" s="271" t="s">
        <v>587</v>
      </c>
      <c r="E55" s="272" t="s">
        <v>587</v>
      </c>
      <c r="F55" s="273"/>
      <c r="G55" s="273"/>
      <c r="H55" s="273"/>
      <c r="I55" s="274"/>
      <c r="J55" s="275"/>
      <c r="L55" s="274"/>
      <c r="M55" s="279" t="s">
        <v>587</v>
      </c>
      <c r="N55" s="263"/>
      <c r="O55" s="279" t="s">
        <v>587</v>
      </c>
    </row>
    <row r="56" spans="1:15" ht="15.75">
      <c r="A56" t="s">
        <v>449</v>
      </c>
      <c r="C56" s="30">
        <f t="shared" si="0"/>
        <v>48</v>
      </c>
      <c r="D56" s="271" t="s">
        <v>589</v>
      </c>
      <c r="E56" s="272" t="s">
        <v>589</v>
      </c>
      <c r="F56" s="273"/>
      <c r="G56" s="273"/>
      <c r="H56" s="273"/>
      <c r="I56" s="274"/>
      <c r="J56" s="275"/>
      <c r="L56" s="274"/>
      <c r="M56" s="276"/>
      <c r="N56" s="263"/>
      <c r="O56" s="274"/>
    </row>
    <row r="57" spans="1:15" ht="15.75">
      <c r="C57" s="30">
        <f t="shared" si="0"/>
        <v>49</v>
      </c>
      <c r="D57" s="271" t="s">
        <v>594</v>
      </c>
      <c r="E57" s="298" t="s">
        <v>594</v>
      </c>
      <c r="F57" s="298" t="s">
        <v>594</v>
      </c>
      <c r="G57" s="273"/>
      <c r="H57" s="273"/>
      <c r="I57" s="274"/>
      <c r="J57" s="275"/>
      <c r="L57" s="274"/>
      <c r="M57" s="276"/>
      <c r="N57" s="263"/>
      <c r="O57" s="274"/>
    </row>
    <row r="58" spans="1:15" ht="15.75">
      <c r="A58" t="s">
        <v>442</v>
      </c>
      <c r="C58" s="30">
        <f t="shared" si="0"/>
        <v>50</v>
      </c>
      <c r="D58" s="280" t="s">
        <v>598</v>
      </c>
      <c r="E58" s="274"/>
      <c r="F58" s="273"/>
      <c r="G58" s="273"/>
      <c r="H58" s="273"/>
      <c r="I58" s="274"/>
      <c r="J58" s="275"/>
      <c r="L58" s="274"/>
      <c r="M58" s="276"/>
      <c r="N58" s="263"/>
      <c r="O58" s="274"/>
    </row>
    <row r="59" spans="1:15" ht="15.75">
      <c r="C59" s="30">
        <f t="shared" si="0"/>
        <v>51</v>
      </c>
      <c r="D59" s="271" t="s">
        <v>601</v>
      </c>
      <c r="E59" s="274"/>
      <c r="F59" s="281" t="s">
        <v>601</v>
      </c>
      <c r="G59" s="273"/>
      <c r="H59" s="273"/>
      <c r="I59" s="274"/>
      <c r="J59" s="275"/>
      <c r="L59" s="274"/>
      <c r="M59" s="276"/>
      <c r="N59" s="263"/>
      <c r="O59" s="274"/>
    </row>
    <row r="60" spans="1:15" ht="15.75">
      <c r="B60" s="299" t="s">
        <v>604</v>
      </c>
      <c r="C60" s="30">
        <f t="shared" si="0"/>
        <v>52</v>
      </c>
      <c r="D60" s="271" t="s">
        <v>605</v>
      </c>
      <c r="E60" s="274"/>
      <c r="F60" s="281" t="s">
        <v>781</v>
      </c>
      <c r="G60" s="273"/>
      <c r="H60" s="273"/>
      <c r="I60" s="274"/>
      <c r="J60" s="275"/>
      <c r="L60" s="274"/>
      <c r="M60" s="276"/>
      <c r="N60" s="263"/>
      <c r="O60" s="274"/>
    </row>
    <row r="61" spans="1:15" ht="15.75">
      <c r="C61" s="30">
        <f t="shared" si="0"/>
        <v>53</v>
      </c>
      <c r="D61" s="278" t="s">
        <v>607</v>
      </c>
      <c r="E61" s="274"/>
      <c r="F61" s="285" t="s">
        <v>607</v>
      </c>
      <c r="G61" s="273"/>
      <c r="H61" s="273"/>
      <c r="I61" s="274"/>
      <c r="J61" s="275"/>
      <c r="L61" s="274"/>
      <c r="M61" s="276"/>
      <c r="N61" s="263"/>
      <c r="O61" s="274"/>
    </row>
    <row r="62" spans="1:15">
      <c r="C62" s="30">
        <f t="shared" si="0"/>
        <v>54</v>
      </c>
      <c r="D62" s="300" t="s">
        <v>610</v>
      </c>
      <c r="E62" s="274"/>
      <c r="F62" s="30" t="s">
        <v>610</v>
      </c>
      <c r="G62" s="273"/>
      <c r="H62" s="273"/>
      <c r="I62" s="274"/>
      <c r="J62" s="275"/>
      <c r="L62" s="274"/>
      <c r="M62" s="276"/>
      <c r="N62" s="263"/>
      <c r="O62" s="274"/>
    </row>
    <row r="63" spans="1:15" ht="15.75">
      <c r="C63" s="30">
        <f t="shared" si="0"/>
        <v>55</v>
      </c>
      <c r="D63" s="271" t="s">
        <v>612</v>
      </c>
      <c r="E63" s="274"/>
      <c r="F63" s="273"/>
      <c r="G63" s="281" t="s">
        <v>612</v>
      </c>
      <c r="H63" s="273"/>
      <c r="I63" s="274"/>
      <c r="J63" s="275"/>
      <c r="L63" s="274"/>
      <c r="M63" s="276"/>
      <c r="N63" s="263"/>
      <c r="O63" s="274"/>
    </row>
    <row r="64" spans="1:15" ht="15.75">
      <c r="C64" s="30">
        <f t="shared" si="0"/>
        <v>56</v>
      </c>
      <c r="D64" s="301" t="s">
        <v>613</v>
      </c>
      <c r="E64" s="302" t="s">
        <v>3</v>
      </c>
      <c r="F64" s="288"/>
      <c r="L64" s="274"/>
      <c r="M64" s="276"/>
      <c r="N64" s="263"/>
    </row>
    <row r="65" spans="1:15" ht="15.75">
      <c r="C65" s="30">
        <f t="shared" si="0"/>
        <v>57</v>
      </c>
      <c r="D65" s="271" t="s">
        <v>614</v>
      </c>
      <c r="E65" s="274"/>
      <c r="F65" s="273"/>
      <c r="G65" s="281" t="s">
        <v>614</v>
      </c>
      <c r="H65" s="273"/>
      <c r="I65" s="274"/>
      <c r="J65" s="275"/>
      <c r="L65" s="274"/>
      <c r="M65" s="276"/>
      <c r="N65" s="263"/>
      <c r="O65" s="274"/>
    </row>
    <row r="66" spans="1:15" ht="15.75">
      <c r="A66" t="s">
        <v>449</v>
      </c>
      <c r="B66" s="28" t="s">
        <v>604</v>
      </c>
      <c r="C66" s="30">
        <f t="shared" si="0"/>
        <v>58</v>
      </c>
      <c r="D66" s="271" t="s">
        <v>615</v>
      </c>
      <c r="E66" s="272" t="s">
        <v>615</v>
      </c>
      <c r="F66" s="273"/>
      <c r="G66" s="273"/>
      <c r="H66" s="273"/>
      <c r="I66" s="274"/>
      <c r="J66" s="275"/>
      <c r="L66" s="274"/>
      <c r="M66" s="276"/>
      <c r="N66" s="263"/>
      <c r="O66" s="274"/>
    </row>
    <row r="67" spans="1:15" ht="15.75">
      <c r="A67" t="s">
        <v>449</v>
      </c>
      <c r="C67" s="30">
        <f t="shared" si="0"/>
        <v>59</v>
      </c>
      <c r="D67" s="271" t="s">
        <v>619</v>
      </c>
      <c r="E67" s="272" t="s">
        <v>619</v>
      </c>
      <c r="F67" s="273"/>
      <c r="G67" s="273"/>
      <c r="H67" s="273"/>
      <c r="I67" s="274"/>
      <c r="J67" s="275"/>
      <c r="L67" s="274"/>
      <c r="M67" s="276"/>
      <c r="N67" s="263"/>
      <c r="O67" s="274"/>
    </row>
    <row r="68" spans="1:15" ht="15.75">
      <c r="A68" t="s">
        <v>449</v>
      </c>
      <c r="C68" s="30">
        <f t="shared" si="0"/>
        <v>60</v>
      </c>
      <c r="D68" s="271" t="s">
        <v>620</v>
      </c>
      <c r="E68" s="272" t="s">
        <v>620</v>
      </c>
      <c r="F68" s="273"/>
      <c r="G68" s="273"/>
      <c r="H68" s="273"/>
      <c r="I68" s="274"/>
      <c r="J68" s="275"/>
      <c r="L68" s="274"/>
      <c r="M68" s="276"/>
      <c r="N68" s="263"/>
      <c r="O68" s="274"/>
    </row>
    <row r="69" spans="1:15" ht="15.75">
      <c r="A69" t="s">
        <v>449</v>
      </c>
      <c r="C69" s="30">
        <f t="shared" si="0"/>
        <v>61</v>
      </c>
      <c r="D69" s="271" t="s">
        <v>621</v>
      </c>
      <c r="E69" s="272" t="s">
        <v>621</v>
      </c>
      <c r="F69" s="273"/>
      <c r="G69" s="273"/>
      <c r="H69" s="273"/>
      <c r="I69" s="274"/>
      <c r="J69" s="275"/>
      <c r="L69" s="274"/>
      <c r="M69" s="276"/>
      <c r="N69" s="263"/>
      <c r="O69" s="274"/>
    </row>
    <row r="70" spans="1:15" ht="15.75">
      <c r="A70" t="s">
        <v>449</v>
      </c>
      <c r="C70" s="30">
        <f t="shared" si="0"/>
        <v>62</v>
      </c>
      <c r="D70" s="271" t="s">
        <v>627</v>
      </c>
      <c r="E70" s="274"/>
      <c r="F70" s="281" t="s">
        <v>627</v>
      </c>
      <c r="G70" s="273"/>
      <c r="H70" s="273"/>
      <c r="I70" s="274"/>
      <c r="J70" s="275"/>
      <c r="L70" s="274"/>
      <c r="M70" s="276"/>
      <c r="N70" s="263"/>
      <c r="O70" s="274"/>
    </row>
    <row r="71" spans="1:15" ht="15.75">
      <c r="C71" s="30">
        <f t="shared" si="0"/>
        <v>63</v>
      </c>
      <c r="D71" s="278" t="s">
        <v>629</v>
      </c>
      <c r="E71" s="274"/>
      <c r="F71" s="273"/>
      <c r="G71" s="273"/>
      <c r="H71" s="273"/>
      <c r="I71" s="274"/>
      <c r="J71" s="275"/>
      <c r="L71" s="274"/>
      <c r="M71" s="276"/>
      <c r="N71" s="263"/>
      <c r="O71" s="274"/>
    </row>
    <row r="72" spans="1:15" ht="15.75">
      <c r="C72" s="30">
        <f t="shared" si="0"/>
        <v>64</v>
      </c>
      <c r="D72" s="303" t="s">
        <v>624</v>
      </c>
      <c r="E72" s="274"/>
      <c r="F72" s="294" t="s">
        <v>624</v>
      </c>
      <c r="G72" s="273"/>
      <c r="H72" s="273"/>
      <c r="I72" s="274"/>
      <c r="J72" s="275"/>
      <c r="L72" s="274"/>
      <c r="M72" s="276"/>
      <c r="N72" s="263"/>
      <c r="O72" s="274"/>
    </row>
    <row r="73" spans="1:15" ht="15.75">
      <c r="A73" t="s">
        <v>449</v>
      </c>
      <c r="B73" s="28" t="s">
        <v>559</v>
      </c>
      <c r="C73" s="30">
        <f t="shared" si="0"/>
        <v>65</v>
      </c>
      <c r="D73" s="271" t="s">
        <v>632</v>
      </c>
      <c r="E73" s="274"/>
      <c r="F73" s="281" t="s">
        <v>782</v>
      </c>
      <c r="G73" s="273"/>
      <c r="H73" s="273"/>
      <c r="I73" s="274"/>
      <c r="J73" s="275"/>
      <c r="L73" s="274"/>
      <c r="M73" s="276"/>
      <c r="N73" s="263"/>
      <c r="O73" s="274"/>
    </row>
    <row r="74" spans="1:15" ht="15.75">
      <c r="B74" s="28" t="s">
        <v>633</v>
      </c>
      <c r="C74" s="30">
        <f t="shared" si="0"/>
        <v>66</v>
      </c>
      <c r="D74" s="271" t="s">
        <v>634</v>
      </c>
      <c r="E74" s="274"/>
      <c r="F74" s="273"/>
      <c r="G74" s="273"/>
      <c r="H74" s="273"/>
      <c r="I74" s="274"/>
      <c r="J74" s="275"/>
      <c r="L74" s="274"/>
      <c r="M74" s="276"/>
      <c r="N74" s="263"/>
      <c r="O74" s="274"/>
    </row>
    <row r="75" spans="1:15" ht="15.75">
      <c r="C75" s="30">
        <f t="shared" ref="C75:C126" si="1">C74+1</f>
        <v>67</v>
      </c>
      <c r="D75" s="271" t="s">
        <v>635</v>
      </c>
      <c r="E75" s="274"/>
      <c r="F75" s="273"/>
      <c r="G75" s="273"/>
      <c r="H75" s="273"/>
      <c r="I75" s="272" t="s">
        <v>635</v>
      </c>
      <c r="J75" s="275"/>
      <c r="L75" s="274"/>
      <c r="M75" s="276"/>
      <c r="N75" s="263"/>
      <c r="O75" s="274"/>
    </row>
    <row r="76" spans="1:15" ht="15.75">
      <c r="C76" s="30">
        <f t="shared" si="1"/>
        <v>68</v>
      </c>
      <c r="D76" s="271" t="s">
        <v>636</v>
      </c>
      <c r="E76" s="274"/>
      <c r="F76" s="273"/>
      <c r="G76" s="273"/>
      <c r="H76" s="273"/>
      <c r="I76" s="274"/>
      <c r="J76" s="275"/>
      <c r="L76" s="274"/>
      <c r="M76" s="276"/>
      <c r="N76" s="263"/>
      <c r="O76" s="279" t="s">
        <v>636</v>
      </c>
    </row>
    <row r="77" spans="1:15" ht="15.75">
      <c r="C77" s="30">
        <f t="shared" si="1"/>
        <v>69</v>
      </c>
      <c r="D77" s="278" t="s">
        <v>638</v>
      </c>
      <c r="E77" s="274"/>
      <c r="F77" s="273"/>
      <c r="G77" s="273"/>
      <c r="H77" s="273"/>
      <c r="I77" s="274"/>
      <c r="J77" s="275"/>
      <c r="L77" s="274"/>
      <c r="M77" s="276"/>
      <c r="N77" s="263"/>
      <c r="O77" s="274"/>
    </row>
    <row r="78" spans="1:15" ht="15.75">
      <c r="C78" s="30">
        <f t="shared" si="1"/>
        <v>70</v>
      </c>
      <c r="D78" s="280" t="s">
        <v>639</v>
      </c>
      <c r="E78" s="274"/>
      <c r="F78" s="273"/>
      <c r="G78" s="273"/>
      <c r="H78" s="273"/>
      <c r="I78" s="274"/>
      <c r="J78" s="275"/>
      <c r="L78" s="274"/>
      <c r="M78" s="276"/>
      <c r="N78" s="263"/>
      <c r="O78" s="274"/>
    </row>
    <row r="79" spans="1:15" ht="15.75">
      <c r="A79" t="s">
        <v>449</v>
      </c>
      <c r="C79" s="30">
        <f t="shared" si="1"/>
        <v>71</v>
      </c>
      <c r="D79" s="271" t="s">
        <v>642</v>
      </c>
      <c r="E79" s="272" t="s">
        <v>642</v>
      </c>
      <c r="F79" s="273"/>
      <c r="G79" s="273"/>
      <c r="H79" s="273"/>
      <c r="I79" s="274"/>
      <c r="J79" s="275"/>
      <c r="L79" s="274"/>
      <c r="M79" s="276"/>
      <c r="N79" s="263"/>
      <c r="O79" s="274"/>
    </row>
    <row r="80" spans="1:15" ht="15.75">
      <c r="B80" s="27" t="s">
        <v>604</v>
      </c>
      <c r="C80" s="30">
        <f t="shared" si="1"/>
        <v>72</v>
      </c>
      <c r="D80" s="271" t="s">
        <v>643</v>
      </c>
      <c r="E80" s="272"/>
      <c r="F80" s="273"/>
      <c r="G80" s="273"/>
      <c r="H80" s="273"/>
      <c r="I80" s="274"/>
      <c r="J80" s="275"/>
      <c r="L80" s="304" t="s">
        <v>643</v>
      </c>
      <c r="M80" s="276"/>
      <c r="N80" s="263"/>
      <c r="O80" s="304" t="s">
        <v>643</v>
      </c>
    </row>
    <row r="81" spans="1:15" ht="15.75">
      <c r="C81" s="30">
        <f t="shared" si="1"/>
        <v>73</v>
      </c>
      <c r="D81" s="271" t="s">
        <v>646</v>
      </c>
      <c r="E81" s="298" t="s">
        <v>646</v>
      </c>
      <c r="F81" s="273"/>
      <c r="G81" s="273"/>
      <c r="H81" s="273"/>
      <c r="I81" s="274"/>
      <c r="J81" s="275"/>
      <c r="L81" s="274"/>
      <c r="M81" s="276"/>
      <c r="N81" s="263"/>
      <c r="O81" s="274"/>
    </row>
    <row r="82" spans="1:15" ht="15.75">
      <c r="C82" s="30">
        <f t="shared" si="1"/>
        <v>74</v>
      </c>
      <c r="D82" s="271" t="s">
        <v>649</v>
      </c>
      <c r="E82" s="274"/>
      <c r="F82" s="281" t="s">
        <v>649</v>
      </c>
      <c r="G82" s="273"/>
      <c r="H82" s="273"/>
      <c r="I82" s="274"/>
      <c r="J82" s="275"/>
      <c r="L82" s="274"/>
      <c r="M82" s="276"/>
      <c r="N82" s="263"/>
      <c r="O82" s="274"/>
    </row>
    <row r="83" spans="1:15" ht="15.75">
      <c r="A83" t="s">
        <v>449</v>
      </c>
      <c r="C83" s="30">
        <f t="shared" si="1"/>
        <v>75</v>
      </c>
      <c r="D83" s="271" t="s">
        <v>653</v>
      </c>
      <c r="E83" s="272" t="s">
        <v>653</v>
      </c>
      <c r="F83" s="273"/>
      <c r="G83" s="273"/>
      <c r="H83" s="273"/>
      <c r="I83" s="274"/>
      <c r="J83" s="275"/>
      <c r="L83" s="274"/>
      <c r="M83" s="276"/>
      <c r="N83" s="263"/>
      <c r="O83" s="274"/>
    </row>
    <row r="84" spans="1:15" ht="15.75">
      <c r="A84" t="s">
        <v>449</v>
      </c>
      <c r="C84" s="30">
        <f t="shared" si="1"/>
        <v>76</v>
      </c>
      <c r="D84" s="271" t="s">
        <v>655</v>
      </c>
      <c r="E84" s="272" t="s">
        <v>655</v>
      </c>
      <c r="F84" s="273"/>
      <c r="G84" s="273"/>
      <c r="H84" s="273"/>
      <c r="I84" s="274"/>
      <c r="J84" s="275"/>
      <c r="L84" s="274"/>
      <c r="M84" s="276"/>
      <c r="N84" s="263"/>
      <c r="O84" s="274"/>
    </row>
    <row r="85" spans="1:15" ht="15.75">
      <c r="A85" t="s">
        <v>449</v>
      </c>
      <c r="B85" s="28" t="s">
        <v>656</v>
      </c>
      <c r="C85" s="30">
        <f t="shared" si="1"/>
        <v>77</v>
      </c>
      <c r="D85" s="271" t="s">
        <v>657</v>
      </c>
      <c r="E85" s="272" t="s">
        <v>657</v>
      </c>
      <c r="F85" s="273"/>
      <c r="G85" s="273"/>
      <c r="H85" s="273"/>
      <c r="I85" s="274"/>
      <c r="J85" s="275"/>
      <c r="L85" s="274"/>
      <c r="M85" s="276"/>
      <c r="N85" s="263"/>
      <c r="O85" s="274"/>
    </row>
    <row r="86" spans="1:15" ht="15.75">
      <c r="A86" t="s">
        <v>449</v>
      </c>
      <c r="C86" s="30">
        <f t="shared" si="1"/>
        <v>78</v>
      </c>
      <c r="D86" s="271" t="s">
        <v>659</v>
      </c>
      <c r="E86" s="272" t="s">
        <v>659</v>
      </c>
      <c r="F86" s="273"/>
      <c r="G86" s="273"/>
      <c r="H86" s="273"/>
      <c r="I86" s="274"/>
      <c r="J86" s="275"/>
      <c r="L86" s="274"/>
      <c r="M86" s="276"/>
      <c r="N86" s="263"/>
      <c r="O86" s="279" t="s">
        <v>659</v>
      </c>
    </row>
    <row r="87" spans="1:15" ht="15.75">
      <c r="A87" t="s">
        <v>449</v>
      </c>
      <c r="C87" s="30">
        <f t="shared" si="1"/>
        <v>79</v>
      </c>
      <c r="D87" s="271" t="s">
        <v>663</v>
      </c>
      <c r="E87" s="272" t="s">
        <v>663</v>
      </c>
      <c r="F87" s="273"/>
      <c r="G87" s="273"/>
      <c r="H87" s="273"/>
      <c r="I87" s="274"/>
      <c r="J87" s="275"/>
      <c r="L87" s="274"/>
      <c r="M87" s="276"/>
      <c r="N87" s="263"/>
      <c r="O87" s="279" t="s">
        <v>663</v>
      </c>
    </row>
    <row r="88" spans="1:15" ht="15.75">
      <c r="C88" s="30">
        <f t="shared" si="1"/>
        <v>80</v>
      </c>
      <c r="D88" s="280" t="s">
        <v>666</v>
      </c>
      <c r="E88" s="274"/>
      <c r="F88" s="273"/>
      <c r="G88" s="273"/>
      <c r="H88" s="273"/>
      <c r="I88" s="274"/>
      <c r="J88" s="275"/>
      <c r="L88" s="274"/>
      <c r="M88" s="276"/>
      <c r="N88" s="263"/>
      <c r="O88" s="274"/>
    </row>
    <row r="89" spans="1:15" ht="15.75">
      <c r="C89" s="30">
        <f t="shared" si="1"/>
        <v>81</v>
      </c>
      <c r="D89" s="271" t="s">
        <v>667</v>
      </c>
      <c r="E89" s="274"/>
      <c r="F89" s="281" t="s">
        <v>667</v>
      </c>
      <c r="G89" s="273"/>
      <c r="H89" s="273"/>
      <c r="I89" s="274"/>
      <c r="J89" s="275"/>
      <c r="L89" s="274"/>
      <c r="M89" s="276"/>
      <c r="N89" s="263"/>
      <c r="O89" s="274"/>
    </row>
    <row r="90" spans="1:15" ht="15.75">
      <c r="C90" s="30">
        <f t="shared" si="1"/>
        <v>82</v>
      </c>
      <c r="D90" s="278" t="s">
        <v>669</v>
      </c>
      <c r="E90" s="274"/>
      <c r="F90" s="285" t="s">
        <v>669</v>
      </c>
      <c r="G90" s="273"/>
      <c r="H90" s="273"/>
      <c r="I90" s="274"/>
      <c r="J90" s="275"/>
      <c r="L90" s="274"/>
      <c r="M90" s="276"/>
      <c r="N90" s="263"/>
      <c r="O90" s="274"/>
    </row>
    <row r="91" spans="1:15" ht="15.75">
      <c r="C91" s="30">
        <f t="shared" si="1"/>
        <v>83</v>
      </c>
      <c r="D91" s="271" t="s">
        <v>672</v>
      </c>
      <c r="E91" s="272" t="s">
        <v>672</v>
      </c>
      <c r="F91" s="273"/>
      <c r="G91" s="273"/>
      <c r="H91" s="273"/>
      <c r="I91" s="274"/>
      <c r="J91" s="275"/>
      <c r="L91" s="274"/>
      <c r="M91" s="276"/>
      <c r="N91" s="263"/>
      <c r="O91" s="279" t="s">
        <v>672</v>
      </c>
    </row>
    <row r="92" spans="1:15" ht="15.75">
      <c r="C92" s="30">
        <f t="shared" si="1"/>
        <v>84</v>
      </c>
      <c r="D92" s="278" t="s">
        <v>677</v>
      </c>
      <c r="E92" s="274"/>
      <c r="F92" s="273"/>
      <c r="G92" s="273"/>
      <c r="H92" s="273"/>
      <c r="I92" s="274"/>
      <c r="J92" s="275"/>
      <c r="L92" s="274"/>
      <c r="M92" s="276"/>
      <c r="N92" s="263"/>
      <c r="O92" s="274"/>
    </row>
    <row r="93" spans="1:15" ht="15.75">
      <c r="C93" s="30">
        <f t="shared" si="1"/>
        <v>85</v>
      </c>
      <c r="D93" s="271" t="s">
        <v>680</v>
      </c>
      <c r="E93" s="272" t="s">
        <v>680</v>
      </c>
      <c r="F93" s="273"/>
      <c r="G93" s="273" t="s">
        <v>3</v>
      </c>
      <c r="H93" s="273"/>
      <c r="I93" s="274"/>
      <c r="J93" s="305" t="s">
        <v>680</v>
      </c>
      <c r="L93" s="274"/>
      <c r="M93" s="276"/>
      <c r="N93" s="263"/>
      <c r="O93" s="274"/>
    </row>
    <row r="94" spans="1:15" ht="15.75">
      <c r="C94" s="30">
        <f t="shared" si="1"/>
        <v>86</v>
      </c>
      <c r="D94" s="271" t="s">
        <v>684</v>
      </c>
      <c r="E94" s="272" t="s">
        <v>684</v>
      </c>
      <c r="F94" s="273"/>
      <c r="G94" s="273"/>
      <c r="H94" s="273"/>
      <c r="I94" s="274"/>
      <c r="J94" s="275"/>
      <c r="L94" s="274"/>
      <c r="M94" s="276"/>
      <c r="N94" s="263"/>
      <c r="O94" s="279" t="s">
        <v>684</v>
      </c>
    </row>
    <row r="95" spans="1:15" ht="15.75">
      <c r="C95" s="30">
        <f t="shared" si="1"/>
        <v>87</v>
      </c>
      <c r="D95" s="278" t="s">
        <v>686</v>
      </c>
      <c r="E95" s="274"/>
      <c r="F95" s="273"/>
      <c r="G95" s="273"/>
      <c r="H95" s="273"/>
      <c r="I95" s="274"/>
      <c r="J95" s="275"/>
      <c r="L95" s="274"/>
      <c r="M95" s="276" t="s">
        <v>783</v>
      </c>
      <c r="N95" s="263"/>
      <c r="O95" s="274"/>
    </row>
    <row r="96" spans="1:15" ht="15.75">
      <c r="C96" s="30">
        <f t="shared" si="1"/>
        <v>88</v>
      </c>
      <c r="D96" s="280" t="s">
        <v>691</v>
      </c>
      <c r="E96" s="274"/>
      <c r="F96" s="273"/>
      <c r="G96" s="273"/>
      <c r="H96" s="273"/>
      <c r="I96" s="274"/>
      <c r="J96" s="275"/>
      <c r="L96" s="274"/>
      <c r="M96" s="276"/>
      <c r="N96" s="263"/>
      <c r="O96" s="274"/>
    </row>
    <row r="97" spans="1:15" ht="15.75">
      <c r="C97" s="30">
        <f t="shared" si="1"/>
        <v>89</v>
      </c>
      <c r="D97" s="280" t="s">
        <v>692</v>
      </c>
      <c r="E97" s="274"/>
      <c r="F97" s="273"/>
      <c r="G97" s="273"/>
      <c r="H97" s="273"/>
      <c r="I97" s="274"/>
      <c r="J97" s="275"/>
      <c r="L97" s="274"/>
      <c r="M97" s="276"/>
      <c r="N97" s="263"/>
      <c r="O97" s="274"/>
    </row>
    <row r="98" spans="1:15" ht="15.75">
      <c r="C98" s="30">
        <f t="shared" si="1"/>
        <v>90</v>
      </c>
      <c r="D98" s="271" t="s">
        <v>693</v>
      </c>
      <c r="E98" s="274"/>
      <c r="F98" s="281" t="s">
        <v>693</v>
      </c>
      <c r="G98" s="273"/>
      <c r="H98" s="273"/>
      <c r="I98" s="274"/>
      <c r="J98" s="275"/>
      <c r="L98" s="274"/>
      <c r="M98" s="276"/>
      <c r="N98" s="263"/>
      <c r="O98" s="274"/>
    </row>
    <row r="99" spans="1:15" ht="15.75">
      <c r="A99" t="s">
        <v>449</v>
      </c>
      <c r="C99" s="30">
        <f t="shared" si="1"/>
        <v>91</v>
      </c>
      <c r="D99" s="271" t="s">
        <v>695</v>
      </c>
      <c r="E99" s="272" t="s">
        <v>695</v>
      </c>
      <c r="F99" s="281" t="s">
        <v>695</v>
      </c>
      <c r="G99" s="273"/>
      <c r="H99" s="273"/>
      <c r="I99" s="274"/>
      <c r="J99" s="275"/>
      <c r="L99" s="274"/>
      <c r="M99" s="276"/>
      <c r="N99" s="263"/>
      <c r="O99" s="274"/>
    </row>
    <row r="100" spans="1:15" ht="15.75">
      <c r="C100" s="30">
        <f t="shared" si="1"/>
        <v>92</v>
      </c>
      <c r="D100" s="278" t="s">
        <v>699</v>
      </c>
      <c r="E100" s="274"/>
      <c r="F100" s="285" t="s">
        <v>699</v>
      </c>
      <c r="G100" s="273"/>
      <c r="H100" s="273"/>
      <c r="I100" s="274"/>
      <c r="J100" s="275"/>
      <c r="L100" s="274"/>
      <c r="M100" s="276"/>
      <c r="N100" s="263"/>
      <c r="O100" s="274"/>
    </row>
    <row r="101" spans="1:15" ht="15.75">
      <c r="C101" s="30">
        <f t="shared" si="1"/>
        <v>93</v>
      </c>
      <c r="D101" s="271" t="s">
        <v>703</v>
      </c>
      <c r="E101" s="274"/>
      <c r="F101" s="281" t="s">
        <v>703</v>
      </c>
      <c r="G101" s="273"/>
      <c r="H101" s="273"/>
      <c r="I101" s="274"/>
      <c r="J101" s="275"/>
      <c r="L101" s="274"/>
      <c r="M101" s="276"/>
      <c r="N101" s="263"/>
      <c r="O101" s="274"/>
    </row>
    <row r="102" spans="1:15" ht="15.75">
      <c r="C102" s="30">
        <f t="shared" si="1"/>
        <v>94</v>
      </c>
      <c r="D102" s="280" t="s">
        <v>704</v>
      </c>
      <c r="E102" s="274"/>
      <c r="F102" s="273"/>
      <c r="G102" s="273"/>
      <c r="H102" s="273"/>
      <c r="I102" s="274"/>
      <c r="J102" s="275"/>
      <c r="L102" s="274"/>
      <c r="M102" s="276"/>
      <c r="N102" s="263"/>
      <c r="O102" s="274"/>
    </row>
    <row r="103" spans="1:15" ht="15.75">
      <c r="C103" s="30">
        <f t="shared" si="1"/>
        <v>95</v>
      </c>
      <c r="D103" s="271" t="s">
        <v>707</v>
      </c>
      <c r="E103" s="274"/>
      <c r="F103" s="273"/>
      <c r="G103" s="273"/>
      <c r="H103" s="273"/>
      <c r="I103" s="274"/>
      <c r="J103" s="275"/>
      <c r="K103" s="306" t="s">
        <v>707</v>
      </c>
      <c r="L103" s="307"/>
      <c r="M103" s="276"/>
      <c r="N103" s="263"/>
      <c r="O103" s="274"/>
    </row>
    <row r="104" spans="1:15" ht="15.75">
      <c r="C104" s="30">
        <f t="shared" si="1"/>
        <v>96</v>
      </c>
      <c r="D104" s="271" t="s">
        <v>711</v>
      </c>
      <c r="E104" s="272" t="s">
        <v>711</v>
      </c>
      <c r="F104" s="273"/>
      <c r="G104" s="273"/>
      <c r="H104" s="273"/>
      <c r="I104" s="274"/>
      <c r="J104" s="275"/>
      <c r="L104" s="274"/>
      <c r="M104" s="276"/>
      <c r="N104" s="263"/>
      <c r="O104" s="274" t="s">
        <v>3</v>
      </c>
    </row>
    <row r="105" spans="1:15" ht="15.75">
      <c r="C105" s="30">
        <f t="shared" si="1"/>
        <v>97</v>
      </c>
      <c r="D105" s="278" t="s">
        <v>713</v>
      </c>
      <c r="E105" s="274"/>
      <c r="F105" s="273"/>
      <c r="G105" s="273"/>
      <c r="H105" s="273"/>
      <c r="I105" s="274"/>
      <c r="J105" s="275"/>
      <c r="L105" s="274"/>
      <c r="M105" s="276"/>
      <c r="N105" s="263"/>
      <c r="O105" s="274"/>
    </row>
    <row r="106" spans="1:15" ht="15.75">
      <c r="C106" s="30">
        <f t="shared" si="1"/>
        <v>98</v>
      </c>
      <c r="D106" s="271" t="s">
        <v>716</v>
      </c>
      <c r="E106" s="272" t="s">
        <v>716</v>
      </c>
      <c r="F106" s="273"/>
      <c r="G106" s="273"/>
      <c r="H106" s="273"/>
      <c r="I106" s="274"/>
      <c r="J106" s="275"/>
      <c r="L106" s="274"/>
      <c r="M106" s="276"/>
      <c r="N106" s="263"/>
      <c r="O106" s="274"/>
    </row>
    <row r="107" spans="1:15" ht="15.75">
      <c r="C107" s="30">
        <f t="shared" si="1"/>
        <v>99</v>
      </c>
      <c r="D107" s="271" t="s">
        <v>717</v>
      </c>
      <c r="E107" s="272" t="s">
        <v>717</v>
      </c>
      <c r="F107" s="273"/>
      <c r="G107" s="273"/>
      <c r="H107" s="273"/>
      <c r="I107" s="274"/>
      <c r="J107" s="275"/>
      <c r="L107" s="274"/>
      <c r="M107" s="276"/>
      <c r="N107" s="263"/>
      <c r="O107" s="274"/>
    </row>
    <row r="108" spans="1:15" ht="15.75">
      <c r="C108" s="30">
        <f t="shared" si="1"/>
        <v>100</v>
      </c>
      <c r="D108" s="271" t="s">
        <v>719</v>
      </c>
      <c r="E108" s="274"/>
      <c r="F108" s="281" t="s">
        <v>719</v>
      </c>
      <c r="G108" s="273"/>
      <c r="H108" s="273"/>
      <c r="I108" s="274"/>
      <c r="J108" s="275"/>
      <c r="L108" s="274"/>
      <c r="M108" s="276"/>
      <c r="N108" s="263"/>
      <c r="O108" s="274"/>
    </row>
    <row r="109" spans="1:15" ht="15.75">
      <c r="C109" s="30">
        <f t="shared" si="1"/>
        <v>101</v>
      </c>
      <c r="D109" s="271" t="s">
        <v>720</v>
      </c>
      <c r="E109" s="272" t="s">
        <v>720</v>
      </c>
      <c r="F109" s="273"/>
      <c r="G109" s="273"/>
      <c r="H109" s="273"/>
      <c r="I109" s="274"/>
      <c r="J109" s="275"/>
      <c r="L109" s="274"/>
      <c r="M109" s="276"/>
      <c r="N109" s="263"/>
      <c r="O109" s="274"/>
    </row>
    <row r="110" spans="1:15" ht="15.75">
      <c r="C110" s="30">
        <f t="shared" si="1"/>
        <v>102</v>
      </c>
      <c r="D110" s="278" t="s">
        <v>721</v>
      </c>
      <c r="E110" s="274"/>
      <c r="F110" s="273"/>
      <c r="G110" s="273"/>
      <c r="H110" s="273"/>
      <c r="I110" s="274"/>
      <c r="J110" s="275"/>
      <c r="L110" s="274"/>
      <c r="M110" s="276"/>
      <c r="N110" s="263"/>
      <c r="O110" s="274"/>
    </row>
    <row r="111" spans="1:15" ht="15.75">
      <c r="C111" s="30">
        <f t="shared" si="1"/>
        <v>103</v>
      </c>
      <c r="D111" s="271" t="s">
        <v>722</v>
      </c>
      <c r="E111" s="274"/>
      <c r="F111" s="281" t="s">
        <v>722</v>
      </c>
      <c r="G111" s="273"/>
      <c r="H111" s="273"/>
      <c r="I111" s="274"/>
      <c r="J111" s="275"/>
      <c r="L111" s="274"/>
      <c r="M111" s="276"/>
      <c r="N111" s="263"/>
      <c r="O111" s="274"/>
    </row>
    <row r="112" spans="1:15" ht="15.75">
      <c r="C112" s="30">
        <f t="shared" si="1"/>
        <v>104</v>
      </c>
      <c r="D112" s="271" t="s">
        <v>724</v>
      </c>
      <c r="E112" s="274"/>
      <c r="F112" s="294" t="s">
        <v>724</v>
      </c>
      <c r="G112" s="273"/>
      <c r="H112" s="273"/>
      <c r="I112" s="274"/>
      <c r="J112" s="275"/>
      <c r="L112" s="274"/>
      <c r="M112" s="276"/>
      <c r="N112" s="263"/>
      <c r="O112" s="274"/>
    </row>
    <row r="113" spans="2:15" ht="15.75">
      <c r="C113" s="30">
        <f t="shared" si="1"/>
        <v>105</v>
      </c>
      <c r="D113" s="271" t="s">
        <v>728</v>
      </c>
      <c r="E113" s="274"/>
      <c r="F113" s="273"/>
      <c r="G113" s="273"/>
      <c r="H113" s="273"/>
      <c r="I113" s="274"/>
      <c r="J113" s="275"/>
      <c r="L113" s="274"/>
      <c r="M113" s="276"/>
      <c r="N113" s="263"/>
      <c r="O113" s="274"/>
    </row>
    <row r="114" spans="2:15" ht="15.75">
      <c r="C114" s="30">
        <f t="shared" si="1"/>
        <v>106</v>
      </c>
      <c r="D114" s="271" t="s">
        <v>729</v>
      </c>
      <c r="E114" s="274"/>
      <c r="F114" s="273"/>
      <c r="G114" s="273"/>
      <c r="H114" s="273"/>
      <c r="I114" s="274"/>
      <c r="J114" s="275"/>
      <c r="K114" s="282" t="s">
        <v>729</v>
      </c>
      <c r="L114" s="308"/>
      <c r="M114" s="276"/>
      <c r="N114" s="263"/>
      <c r="O114" s="274"/>
    </row>
    <row r="115" spans="2:15" ht="15.75">
      <c r="C115" s="30">
        <f t="shared" si="1"/>
        <v>107</v>
      </c>
      <c r="D115" s="271" t="s">
        <v>730</v>
      </c>
      <c r="E115" s="272" t="s">
        <v>730</v>
      </c>
      <c r="F115" s="273"/>
      <c r="G115" s="273" t="s">
        <v>784</v>
      </c>
      <c r="H115" s="273"/>
      <c r="I115" s="274"/>
      <c r="J115" s="275"/>
      <c r="L115" s="274"/>
      <c r="M115" s="276"/>
      <c r="N115" s="263"/>
      <c r="O115" s="274"/>
    </row>
    <row r="116" spans="2:15" ht="15.75">
      <c r="C116" s="30">
        <f t="shared" si="1"/>
        <v>108</v>
      </c>
      <c r="D116" s="271" t="s">
        <v>733</v>
      </c>
      <c r="E116" s="274"/>
      <c r="F116" s="273"/>
      <c r="G116" s="273"/>
      <c r="H116" s="273"/>
      <c r="I116" s="274"/>
      <c r="J116" s="275"/>
      <c r="L116" s="274"/>
      <c r="M116" s="276"/>
      <c r="N116" s="263"/>
      <c r="O116" s="274"/>
    </row>
    <row r="117" spans="2:15" ht="15.75">
      <c r="B117" s="28" t="s">
        <v>743</v>
      </c>
      <c r="C117" s="30">
        <f t="shared" si="1"/>
        <v>109</v>
      </c>
      <c r="D117" s="271" t="s">
        <v>735</v>
      </c>
      <c r="E117" s="274"/>
      <c r="F117" s="294" t="s">
        <v>735</v>
      </c>
      <c r="G117" s="273"/>
      <c r="H117" s="273"/>
      <c r="I117" s="274"/>
      <c r="J117" s="275"/>
      <c r="L117" s="274"/>
      <c r="M117" s="276"/>
      <c r="N117" s="263"/>
      <c r="O117" s="274"/>
    </row>
    <row r="118" spans="2:15" ht="15.75">
      <c r="B118" s="28" t="s">
        <v>743</v>
      </c>
      <c r="C118" s="30">
        <f t="shared" si="1"/>
        <v>110</v>
      </c>
      <c r="D118" s="271" t="s">
        <v>738</v>
      </c>
      <c r="E118" s="294" t="s">
        <v>738</v>
      </c>
      <c r="F118" s="309"/>
      <c r="G118" s="273"/>
      <c r="H118" s="273"/>
      <c r="I118" s="274"/>
      <c r="J118" s="275"/>
      <c r="L118" s="274"/>
      <c r="M118" s="276"/>
      <c r="N118" s="263"/>
      <c r="O118" s="274"/>
    </row>
    <row r="119" spans="2:15" ht="15" customHeight="1">
      <c r="C119" s="30">
        <f t="shared" si="1"/>
        <v>111</v>
      </c>
      <c r="D119" s="271" t="s">
        <v>740</v>
      </c>
      <c r="E119" s="274"/>
      <c r="F119" s="273"/>
      <c r="G119" s="273"/>
      <c r="H119" s="273"/>
      <c r="I119" s="274"/>
      <c r="J119" s="275"/>
      <c r="L119" s="274"/>
      <c r="M119" s="276"/>
      <c r="N119" s="263"/>
      <c r="O119" s="274"/>
    </row>
    <row r="120" spans="2:15" ht="15" customHeight="1">
      <c r="B120" s="28" t="s">
        <v>743</v>
      </c>
      <c r="C120" s="30">
        <f t="shared" si="1"/>
        <v>112</v>
      </c>
      <c r="D120" s="283" t="s">
        <v>744</v>
      </c>
      <c r="E120" s="284" t="s">
        <v>785</v>
      </c>
      <c r="G120" s="273"/>
      <c r="H120" s="273"/>
      <c r="I120" s="274"/>
      <c r="J120" s="275"/>
      <c r="L120" s="274"/>
      <c r="M120" s="276"/>
      <c r="N120" s="263"/>
      <c r="O120" s="274"/>
    </row>
    <row r="121" spans="2:15" ht="15.75">
      <c r="C121" s="30">
        <f t="shared" si="1"/>
        <v>113</v>
      </c>
      <c r="D121" s="271" t="s">
        <v>748</v>
      </c>
      <c r="E121" s="274"/>
      <c r="F121" s="273"/>
      <c r="G121" s="273"/>
      <c r="H121" s="273"/>
      <c r="I121" s="274"/>
      <c r="J121" s="275"/>
      <c r="L121" s="274"/>
      <c r="M121" s="276"/>
      <c r="N121" s="263"/>
      <c r="O121" s="279" t="s">
        <v>748</v>
      </c>
    </row>
    <row r="122" spans="2:15" ht="15.75">
      <c r="C122" s="30">
        <f t="shared" si="1"/>
        <v>114</v>
      </c>
      <c r="D122" s="271" t="s">
        <v>751</v>
      </c>
      <c r="E122" s="274"/>
      <c r="F122" s="273" t="s">
        <v>3</v>
      </c>
      <c r="G122" s="281" t="s">
        <v>751</v>
      </c>
      <c r="H122" s="273"/>
      <c r="I122" s="274"/>
      <c r="J122" s="275"/>
      <c r="L122" s="274"/>
      <c r="M122" s="276"/>
      <c r="N122" s="263"/>
      <c r="O122" s="274"/>
    </row>
    <row r="123" spans="2:15" ht="15.75">
      <c r="C123" s="30">
        <f t="shared" si="1"/>
        <v>115</v>
      </c>
      <c r="D123" s="271" t="s">
        <v>753</v>
      </c>
      <c r="E123" s="294" t="s">
        <v>753</v>
      </c>
      <c r="F123" s="273"/>
      <c r="G123" s="273"/>
      <c r="H123" s="273"/>
      <c r="I123" s="274"/>
      <c r="J123" s="275"/>
      <c r="L123" s="274"/>
      <c r="M123" s="276"/>
      <c r="N123" s="263"/>
      <c r="O123" s="274"/>
    </row>
    <row r="124" spans="2:15" ht="15.75">
      <c r="C124" s="30">
        <f t="shared" si="1"/>
        <v>116</v>
      </c>
      <c r="D124" s="278" t="s">
        <v>756</v>
      </c>
      <c r="E124" s="274"/>
      <c r="F124" s="273" t="s">
        <v>3</v>
      </c>
      <c r="G124" s="273"/>
      <c r="H124" s="273" t="s">
        <v>3</v>
      </c>
      <c r="I124" s="274"/>
      <c r="J124" s="275"/>
      <c r="L124" s="274"/>
      <c r="M124" s="276"/>
      <c r="N124" s="263"/>
      <c r="O124" s="274"/>
    </row>
    <row r="125" spans="2:15">
      <c r="C125" s="30">
        <f t="shared" si="1"/>
        <v>117</v>
      </c>
      <c r="D125" s="310" t="s">
        <v>757</v>
      </c>
      <c r="E125" s="311"/>
      <c r="F125" s="273" t="s">
        <v>3</v>
      </c>
      <c r="G125" s="281" t="s">
        <v>757</v>
      </c>
      <c r="H125" s="273"/>
      <c r="I125" s="274"/>
      <c r="J125" s="275"/>
      <c r="L125" s="274"/>
      <c r="M125" s="276"/>
      <c r="N125" s="263"/>
      <c r="O125" s="274"/>
    </row>
    <row r="126" spans="2:15" ht="16.5" thickBot="1">
      <c r="C126" s="30">
        <f t="shared" si="1"/>
        <v>118</v>
      </c>
      <c r="D126" s="312" t="s">
        <v>761</v>
      </c>
      <c r="E126" s="313" t="s">
        <v>761</v>
      </c>
      <c r="F126" s="314"/>
      <c r="G126" s="314"/>
      <c r="H126" s="314"/>
      <c r="I126" s="315"/>
      <c r="J126" s="316"/>
      <c r="K126" s="317"/>
      <c r="L126" s="315"/>
      <c r="M126" s="318"/>
      <c r="N126" s="263"/>
      <c r="O126" s="315"/>
    </row>
    <row r="127" spans="2:15" ht="15.75" thickBot="1">
      <c r="E127" s="319">
        <v>46</v>
      </c>
      <c r="F127" s="319">
        <v>25</v>
      </c>
      <c r="G127" s="30">
        <v>7</v>
      </c>
    </row>
    <row r="128" spans="2:15">
      <c r="D128" s="320" t="s">
        <v>504</v>
      </c>
      <c r="E128" s="288"/>
      <c r="F128" s="288"/>
    </row>
    <row r="129" spans="2:6">
      <c r="D129" s="302" t="s">
        <v>613</v>
      </c>
      <c r="E129" s="288"/>
      <c r="F129" s="288"/>
    </row>
    <row r="130" spans="2:6">
      <c r="D130" s="320"/>
      <c r="E130" s="288"/>
      <c r="F130" s="288"/>
    </row>
    <row r="131" spans="2:6">
      <c r="B131" t="s">
        <v>674</v>
      </c>
      <c r="D131" s="320" t="s">
        <v>675</v>
      </c>
      <c r="E131" s="288"/>
      <c r="F131" s="288"/>
    </row>
    <row r="132" spans="2:6">
      <c r="D132" s="320" t="s">
        <v>755</v>
      </c>
      <c r="E132" s="288"/>
      <c r="F132" s="288"/>
    </row>
    <row r="134" spans="2:6" ht="15.75">
      <c r="B134" t="s">
        <v>440</v>
      </c>
      <c r="C134">
        <v>1</v>
      </c>
      <c r="D134" s="321" t="s">
        <v>441</v>
      </c>
      <c r="F134" s="30" t="s">
        <v>3</v>
      </c>
    </row>
    <row r="135" spans="2:6" ht="15.75">
      <c r="B135" t="s">
        <v>440</v>
      </c>
      <c r="C135">
        <v>2</v>
      </c>
      <c r="D135" s="321" t="s">
        <v>786</v>
      </c>
    </row>
    <row r="136" spans="2:6" ht="15.75">
      <c r="B136" t="s">
        <v>440</v>
      </c>
      <c r="C136">
        <v>3</v>
      </c>
      <c r="D136" s="321" t="s">
        <v>448</v>
      </c>
    </row>
    <row r="137" spans="2:6" ht="15.75">
      <c r="B137" t="s">
        <v>440</v>
      </c>
      <c r="C137">
        <f>C136+1</f>
        <v>4</v>
      </c>
      <c r="D137" s="322" t="s">
        <v>452</v>
      </c>
    </row>
    <row r="138" spans="2:6" ht="15.75">
      <c r="B138" t="s">
        <v>440</v>
      </c>
      <c r="C138">
        <f t="shared" ref="C138:C158" si="2">C137+1</f>
        <v>5</v>
      </c>
      <c r="D138" s="321" t="s">
        <v>787</v>
      </c>
    </row>
    <row r="139" spans="2:6" ht="15.75">
      <c r="B139" t="s">
        <v>440</v>
      </c>
      <c r="C139">
        <f t="shared" si="2"/>
        <v>6</v>
      </c>
      <c r="D139" s="321" t="s">
        <v>788</v>
      </c>
    </row>
    <row r="140" spans="2:6" ht="15.75">
      <c r="B140" t="s">
        <v>440</v>
      </c>
      <c r="C140">
        <f t="shared" si="2"/>
        <v>7</v>
      </c>
      <c r="D140" s="322" t="s">
        <v>464</v>
      </c>
    </row>
    <row r="141" spans="2:6" ht="15.75">
      <c r="B141" t="s">
        <v>440</v>
      </c>
      <c r="C141">
        <f t="shared" si="2"/>
        <v>8</v>
      </c>
      <c r="D141" s="321" t="s">
        <v>789</v>
      </c>
    </row>
    <row r="142" spans="2:6" ht="15.75">
      <c r="B142" t="s">
        <v>440</v>
      </c>
      <c r="C142">
        <f t="shared" si="2"/>
        <v>9</v>
      </c>
      <c r="D142" s="321" t="s">
        <v>491</v>
      </c>
    </row>
    <row r="143" spans="2:6" ht="15.75">
      <c r="B143" t="s">
        <v>440</v>
      </c>
      <c r="C143">
        <f t="shared" si="2"/>
        <v>10</v>
      </c>
      <c r="D143" s="321" t="s">
        <v>501</v>
      </c>
    </row>
    <row r="144" spans="2:6" ht="15.75">
      <c r="B144" t="s">
        <v>440</v>
      </c>
      <c r="C144">
        <f t="shared" si="2"/>
        <v>11</v>
      </c>
      <c r="D144" s="321" t="s">
        <v>503</v>
      </c>
    </row>
    <row r="145" spans="2:5" ht="15.75">
      <c r="B145" t="s">
        <v>440</v>
      </c>
      <c r="C145">
        <f t="shared" si="2"/>
        <v>12</v>
      </c>
      <c r="D145" s="321" t="s">
        <v>790</v>
      </c>
    </row>
    <row r="146" spans="2:5" ht="15.75">
      <c r="B146" t="s">
        <v>440</v>
      </c>
      <c r="C146">
        <f t="shared" si="2"/>
        <v>13</v>
      </c>
      <c r="D146" s="321" t="s">
        <v>791</v>
      </c>
    </row>
    <row r="147" spans="2:5" ht="15.75">
      <c r="B147" t="s">
        <v>440</v>
      </c>
      <c r="C147">
        <f t="shared" si="2"/>
        <v>14</v>
      </c>
      <c r="D147" s="321" t="s">
        <v>539</v>
      </c>
    </row>
    <row r="148" spans="2:5" ht="15.75">
      <c r="B148" t="s">
        <v>440</v>
      </c>
      <c r="C148">
        <f t="shared" si="2"/>
        <v>15</v>
      </c>
      <c r="D148" s="321" t="s">
        <v>792</v>
      </c>
    </row>
    <row r="149" spans="2:5" ht="15.75">
      <c r="B149" t="s">
        <v>440</v>
      </c>
      <c r="C149">
        <f t="shared" si="2"/>
        <v>16</v>
      </c>
      <c r="D149" s="322" t="s">
        <v>544</v>
      </c>
      <c r="E149" s="30" t="s">
        <v>545</v>
      </c>
    </row>
    <row r="150" spans="2:5" ht="15.75">
      <c r="B150" t="s">
        <v>440</v>
      </c>
      <c r="C150">
        <f t="shared" si="2"/>
        <v>17</v>
      </c>
      <c r="D150" s="321" t="s">
        <v>562</v>
      </c>
    </row>
    <row r="151" spans="2:5" ht="15.75">
      <c r="B151" t="s">
        <v>440</v>
      </c>
      <c r="C151">
        <f t="shared" si="2"/>
        <v>18</v>
      </c>
      <c r="D151" s="321" t="s">
        <v>563</v>
      </c>
    </row>
    <row r="152" spans="2:5" ht="15.75">
      <c r="B152" t="s">
        <v>440</v>
      </c>
      <c r="C152">
        <f t="shared" si="2"/>
        <v>19</v>
      </c>
      <c r="D152" s="321" t="s">
        <v>579</v>
      </c>
    </row>
    <row r="153" spans="2:5" ht="15.75">
      <c r="B153" t="s">
        <v>440</v>
      </c>
      <c r="C153">
        <f t="shared" si="2"/>
        <v>20</v>
      </c>
      <c r="D153" s="321" t="s">
        <v>793</v>
      </c>
    </row>
    <row r="154" spans="2:5" ht="15.75">
      <c r="B154" t="s">
        <v>440</v>
      </c>
      <c r="C154">
        <f t="shared" si="2"/>
        <v>21</v>
      </c>
      <c r="D154" s="322" t="s">
        <v>637</v>
      </c>
    </row>
    <row r="155" spans="2:5" ht="15.75">
      <c r="B155" t="s">
        <v>440</v>
      </c>
      <c r="C155">
        <f t="shared" si="2"/>
        <v>22</v>
      </c>
      <c r="D155" s="321" t="s">
        <v>641</v>
      </c>
    </row>
    <row r="156" spans="2:5" ht="15.75">
      <c r="B156" t="s">
        <v>440</v>
      </c>
      <c r="C156">
        <f t="shared" si="2"/>
        <v>23</v>
      </c>
      <c r="D156" s="321" t="s">
        <v>665</v>
      </c>
    </row>
    <row r="157" spans="2:5" ht="15.75">
      <c r="B157" t="s">
        <v>440</v>
      </c>
      <c r="C157">
        <f t="shared" si="2"/>
        <v>24</v>
      </c>
      <c r="D157" s="322" t="s">
        <v>746</v>
      </c>
    </row>
    <row r="158" spans="2:5" ht="15.75">
      <c r="B158" t="s">
        <v>440</v>
      </c>
      <c r="C158">
        <f t="shared" si="2"/>
        <v>25</v>
      </c>
      <c r="D158" s="322" t="s">
        <v>760</v>
      </c>
    </row>
    <row r="159" spans="2:5">
      <c r="D159"/>
    </row>
    <row r="160" spans="2:5">
      <c r="D160"/>
    </row>
    <row r="161" spans="2:4">
      <c r="D161"/>
    </row>
    <row r="162" spans="2:4">
      <c r="D162" s="245" t="s">
        <v>794</v>
      </c>
    </row>
    <row r="163" spans="2:4">
      <c r="D163" s="245" t="s">
        <v>795</v>
      </c>
    </row>
    <row r="164" spans="2:4">
      <c r="D164" s="245" t="s">
        <v>796</v>
      </c>
    </row>
    <row r="165" spans="2:4" ht="15.75">
      <c r="B165" t="s">
        <v>440</v>
      </c>
      <c r="D165" s="323" t="s">
        <v>797</v>
      </c>
    </row>
    <row r="174" spans="2:4" ht="15.75" thickBot="1">
      <c r="D174" s="255" t="s">
        <v>439</v>
      </c>
    </row>
    <row r="175" spans="2:4" ht="16.5" thickBot="1">
      <c r="D175" s="258" t="s">
        <v>767</v>
      </c>
    </row>
    <row r="176" spans="2:4">
      <c r="C176" s="30">
        <v>1</v>
      </c>
      <c r="D176" s="324" t="s">
        <v>450</v>
      </c>
    </row>
    <row r="177" spans="3:5">
      <c r="C177" s="30">
        <f>C176+1</f>
        <v>2</v>
      </c>
      <c r="D177" s="272" t="s">
        <v>463</v>
      </c>
    </row>
    <row r="178" spans="3:5">
      <c r="C178" s="30">
        <f t="shared" ref="C178:C221" si="3">C177+1</f>
        <v>3</v>
      </c>
      <c r="D178" s="325" t="s">
        <v>486</v>
      </c>
    </row>
    <row r="179" spans="3:5">
      <c r="C179" s="30">
        <f t="shared" si="3"/>
        <v>4</v>
      </c>
      <c r="D179" s="284" t="s">
        <v>492</v>
      </c>
      <c r="E179"/>
    </row>
    <row r="180" spans="3:5">
      <c r="C180" s="30">
        <f t="shared" si="3"/>
        <v>5</v>
      </c>
      <c r="D180" s="4" t="s">
        <v>505</v>
      </c>
      <c r="E180"/>
    </row>
    <row r="181" spans="3:5">
      <c r="C181" s="30">
        <f t="shared" si="3"/>
        <v>6</v>
      </c>
      <c r="D181" s="272" t="s">
        <v>510</v>
      </c>
    </row>
    <row r="182" spans="3:5" ht="15.75">
      <c r="C182" s="30">
        <f t="shared" si="3"/>
        <v>7</v>
      </c>
      <c r="D182" s="298" t="s">
        <v>514</v>
      </c>
      <c r="E182"/>
    </row>
    <row r="183" spans="3:5">
      <c r="C183" s="30">
        <f t="shared" si="3"/>
        <v>8</v>
      </c>
      <c r="D183" s="272" t="s">
        <v>520</v>
      </c>
    </row>
    <row r="184" spans="3:5" ht="15.75">
      <c r="C184" s="30">
        <f t="shared" si="3"/>
        <v>9</v>
      </c>
      <c r="D184" s="326" t="s">
        <v>527</v>
      </c>
    </row>
    <row r="185" spans="3:5">
      <c r="C185" s="30">
        <f t="shared" si="3"/>
        <v>10</v>
      </c>
      <c r="D185" s="272" t="s">
        <v>529</v>
      </c>
    </row>
    <row r="186" spans="3:5">
      <c r="C186" s="30">
        <f t="shared" si="3"/>
        <v>11</v>
      </c>
      <c r="D186" s="272" t="s">
        <v>530</v>
      </c>
    </row>
    <row r="187" spans="3:5">
      <c r="C187" s="30">
        <f t="shared" si="3"/>
        <v>12</v>
      </c>
      <c r="D187" s="272" t="s">
        <v>534</v>
      </c>
    </row>
    <row r="188" spans="3:5">
      <c r="C188" s="30">
        <f t="shared" si="3"/>
        <v>13</v>
      </c>
      <c r="D188" s="272" t="s">
        <v>546</v>
      </c>
    </row>
    <row r="189" spans="3:5" ht="15.75">
      <c r="C189" s="30">
        <f t="shared" si="3"/>
        <v>14</v>
      </c>
      <c r="D189" s="327" t="s">
        <v>552</v>
      </c>
    </row>
    <row r="190" spans="3:5" ht="15.75">
      <c r="C190" s="30">
        <f t="shared" si="3"/>
        <v>15</v>
      </c>
      <c r="D190" s="294" t="s">
        <v>549</v>
      </c>
      <c r="E190"/>
    </row>
    <row r="191" spans="3:5" ht="15.75">
      <c r="C191" s="30">
        <f t="shared" si="3"/>
        <v>16</v>
      </c>
      <c r="D191" s="327" t="s">
        <v>555</v>
      </c>
    </row>
    <row r="192" spans="3:5" ht="15.75">
      <c r="C192" s="30">
        <f t="shared" si="3"/>
        <v>17</v>
      </c>
      <c r="D192" s="294" t="s">
        <v>573</v>
      </c>
    </row>
    <row r="193" spans="3:5">
      <c r="C193" s="30">
        <f t="shared" si="3"/>
        <v>18</v>
      </c>
      <c r="D193" s="272" t="s">
        <v>576</v>
      </c>
    </row>
    <row r="194" spans="3:5">
      <c r="C194" s="30">
        <f t="shared" si="3"/>
        <v>19</v>
      </c>
      <c r="D194" s="325" t="s">
        <v>581</v>
      </c>
    </row>
    <row r="195" spans="3:5">
      <c r="C195" s="30">
        <f t="shared" si="3"/>
        <v>20</v>
      </c>
      <c r="D195" s="325" t="s">
        <v>587</v>
      </c>
    </row>
    <row r="196" spans="3:5">
      <c r="C196" s="30">
        <f t="shared" si="3"/>
        <v>21</v>
      </c>
      <c r="D196" s="325" t="s">
        <v>589</v>
      </c>
    </row>
    <row r="197" spans="3:5" ht="15.75">
      <c r="C197" s="30">
        <f t="shared" si="3"/>
        <v>22</v>
      </c>
      <c r="D197" s="328" t="s">
        <v>798</v>
      </c>
    </row>
    <row r="198" spans="3:5">
      <c r="C198" s="30">
        <f t="shared" si="3"/>
        <v>23</v>
      </c>
      <c r="D198" s="272" t="s">
        <v>615</v>
      </c>
    </row>
    <row r="199" spans="3:5">
      <c r="C199" s="30">
        <f t="shared" si="3"/>
        <v>24</v>
      </c>
      <c r="D199" s="272" t="s">
        <v>619</v>
      </c>
    </row>
    <row r="200" spans="3:5">
      <c r="C200" s="30">
        <f t="shared" si="3"/>
        <v>25</v>
      </c>
      <c r="D200" s="272" t="s">
        <v>620</v>
      </c>
    </row>
    <row r="201" spans="3:5">
      <c r="C201" s="30">
        <f t="shared" si="3"/>
        <v>26</v>
      </c>
      <c r="D201" s="325" t="s">
        <v>621</v>
      </c>
    </row>
    <row r="202" spans="3:5">
      <c r="C202" s="30">
        <f t="shared" si="3"/>
        <v>27</v>
      </c>
      <c r="D202" s="272" t="s">
        <v>642</v>
      </c>
    </row>
    <row r="203" spans="3:5" ht="15.75">
      <c r="C203" s="30">
        <f t="shared" si="3"/>
        <v>28</v>
      </c>
      <c r="D203" s="294" t="s">
        <v>646</v>
      </c>
      <c r="E203"/>
    </row>
    <row r="204" spans="3:5">
      <c r="C204" s="30">
        <f t="shared" si="3"/>
        <v>29</v>
      </c>
      <c r="D204" s="325" t="s">
        <v>653</v>
      </c>
    </row>
    <row r="205" spans="3:5">
      <c r="C205" s="30">
        <f t="shared" si="3"/>
        <v>30</v>
      </c>
      <c r="D205" s="272" t="s">
        <v>655</v>
      </c>
    </row>
    <row r="206" spans="3:5">
      <c r="C206" s="30">
        <f t="shared" si="3"/>
        <v>31</v>
      </c>
      <c r="D206" s="272" t="s">
        <v>657</v>
      </c>
    </row>
    <row r="207" spans="3:5">
      <c r="C207" s="30">
        <f t="shared" si="3"/>
        <v>32</v>
      </c>
      <c r="D207" s="325" t="s">
        <v>659</v>
      </c>
    </row>
    <row r="208" spans="3:5">
      <c r="C208" s="30">
        <f t="shared" si="3"/>
        <v>33</v>
      </c>
      <c r="D208" s="325" t="s">
        <v>663</v>
      </c>
    </row>
    <row r="209" spans="3:5">
      <c r="C209" s="30">
        <f t="shared" si="3"/>
        <v>34</v>
      </c>
      <c r="D209" s="325" t="s">
        <v>672</v>
      </c>
    </row>
    <row r="210" spans="3:5">
      <c r="C210" s="30">
        <f t="shared" si="3"/>
        <v>35</v>
      </c>
      <c r="D210" s="272" t="s">
        <v>680</v>
      </c>
    </row>
    <row r="211" spans="3:5">
      <c r="C211" s="30">
        <f t="shared" si="3"/>
        <v>36</v>
      </c>
      <c r="D211" s="325" t="s">
        <v>684</v>
      </c>
    </row>
    <row r="212" spans="3:5">
      <c r="C212" s="30">
        <f t="shared" si="3"/>
        <v>37</v>
      </c>
      <c r="D212" s="325" t="s">
        <v>695</v>
      </c>
    </row>
    <row r="213" spans="3:5">
      <c r="C213" s="30">
        <f t="shared" si="3"/>
        <v>38</v>
      </c>
      <c r="D213" s="325" t="s">
        <v>711</v>
      </c>
    </row>
    <row r="214" spans="3:5">
      <c r="C214" s="30">
        <f t="shared" si="3"/>
        <v>39</v>
      </c>
      <c r="D214" s="272" t="s">
        <v>716</v>
      </c>
    </row>
    <row r="215" spans="3:5">
      <c r="C215" s="30">
        <f t="shared" si="3"/>
        <v>40</v>
      </c>
      <c r="D215" s="272" t="s">
        <v>717</v>
      </c>
    </row>
    <row r="216" spans="3:5">
      <c r="C216" s="30">
        <f t="shared" si="3"/>
        <v>41</v>
      </c>
      <c r="D216" s="272" t="s">
        <v>720</v>
      </c>
    </row>
    <row r="217" spans="3:5">
      <c r="C217" s="30">
        <f t="shared" si="3"/>
        <v>42</v>
      </c>
      <c r="D217" s="272" t="s">
        <v>730</v>
      </c>
    </row>
    <row r="218" spans="3:5" ht="15.75">
      <c r="C218" s="30">
        <f t="shared" si="3"/>
        <v>43</v>
      </c>
      <c r="D218" s="294" t="s">
        <v>738</v>
      </c>
    </row>
    <row r="219" spans="3:5">
      <c r="C219" s="30">
        <f t="shared" si="3"/>
        <v>44</v>
      </c>
      <c r="D219" s="272" t="s">
        <v>785</v>
      </c>
    </row>
    <row r="220" spans="3:5" ht="15.75">
      <c r="C220" s="30">
        <f t="shared" si="3"/>
        <v>45</v>
      </c>
      <c r="D220" s="294" t="s">
        <v>753</v>
      </c>
      <c r="E220"/>
    </row>
    <row r="221" spans="3:5" ht="15.75" thickBot="1">
      <c r="C221" s="30">
        <f t="shared" si="3"/>
        <v>46</v>
      </c>
      <c r="D221" s="313" t="s">
        <v>799</v>
      </c>
    </row>
    <row r="222" spans="3:5">
      <c r="D222"/>
      <c r="E222"/>
    </row>
    <row r="223" spans="3:5">
      <c r="D223"/>
      <c r="E223"/>
    </row>
    <row r="224" spans="3:5" ht="15.75" thickBot="1">
      <c r="D224" s="255" t="s">
        <v>439</v>
      </c>
    </row>
    <row r="225" spans="3:4" ht="16.5" thickBot="1">
      <c r="D225" s="258" t="s">
        <v>768</v>
      </c>
    </row>
    <row r="226" spans="3:4">
      <c r="C226" s="30">
        <v>1</v>
      </c>
      <c r="D226" s="324" t="s">
        <v>508</v>
      </c>
    </row>
    <row r="227" spans="3:4">
      <c r="C227" s="30">
        <f>C226+1</f>
        <v>2</v>
      </c>
      <c r="D227" s="272" t="s">
        <v>517</v>
      </c>
    </row>
    <row r="228" spans="3:4">
      <c r="C228" s="30">
        <f t="shared" ref="C228:C251" si="4">C227+1</f>
        <v>3</v>
      </c>
      <c r="D228" s="272" t="s">
        <v>530</v>
      </c>
    </row>
    <row r="229" spans="3:4">
      <c r="C229" s="30">
        <f t="shared" si="4"/>
        <v>4</v>
      </c>
      <c r="D229" s="272" t="s">
        <v>532</v>
      </c>
    </row>
    <row r="230" spans="3:4" ht="15.75">
      <c r="C230" s="30">
        <f t="shared" si="4"/>
        <v>5</v>
      </c>
      <c r="D230" s="294" t="s">
        <v>542</v>
      </c>
    </row>
    <row r="231" spans="3:4" ht="15.75">
      <c r="C231" s="30">
        <f t="shared" si="4"/>
        <v>6</v>
      </c>
      <c r="D231" s="294" t="s">
        <v>557</v>
      </c>
    </row>
    <row r="232" spans="3:4">
      <c r="C232" s="30">
        <f t="shared" si="4"/>
        <v>7</v>
      </c>
      <c r="D232" s="272" t="s">
        <v>584</v>
      </c>
    </row>
    <row r="233" spans="3:4" ht="15.75">
      <c r="C233" s="30">
        <f t="shared" si="4"/>
        <v>8</v>
      </c>
      <c r="D233" s="328" t="s">
        <v>800</v>
      </c>
    </row>
    <row r="234" spans="3:4">
      <c r="C234" s="30">
        <f t="shared" si="4"/>
        <v>9</v>
      </c>
      <c r="D234" s="325" t="s">
        <v>601</v>
      </c>
    </row>
    <row r="235" spans="3:4">
      <c r="C235" s="30">
        <f t="shared" si="4"/>
        <v>10</v>
      </c>
      <c r="D235" s="272" t="s">
        <v>781</v>
      </c>
    </row>
    <row r="236" spans="3:4">
      <c r="C236" s="30">
        <f t="shared" si="4"/>
        <v>11</v>
      </c>
      <c r="D236" s="329" t="s">
        <v>607</v>
      </c>
    </row>
    <row r="237" spans="3:4">
      <c r="C237" s="30">
        <f t="shared" si="4"/>
        <v>12</v>
      </c>
      <c r="D237" s="330" t="s">
        <v>610</v>
      </c>
    </row>
    <row r="238" spans="3:4" ht="15.75">
      <c r="C238" s="30">
        <f t="shared" si="4"/>
        <v>13</v>
      </c>
      <c r="D238" s="294" t="s">
        <v>624</v>
      </c>
    </row>
    <row r="239" spans="3:4">
      <c r="C239" s="30">
        <f t="shared" si="4"/>
        <v>14</v>
      </c>
      <c r="D239" s="272" t="s">
        <v>782</v>
      </c>
    </row>
    <row r="240" spans="3:4">
      <c r="C240" s="30">
        <f t="shared" si="4"/>
        <v>15</v>
      </c>
      <c r="D240" s="272" t="s">
        <v>649</v>
      </c>
    </row>
    <row r="241" spans="3:5">
      <c r="C241" s="30">
        <f t="shared" si="4"/>
        <v>16</v>
      </c>
      <c r="D241" s="272" t="s">
        <v>667</v>
      </c>
    </row>
    <row r="242" spans="3:5">
      <c r="C242" s="30">
        <f t="shared" si="4"/>
        <v>17</v>
      </c>
      <c r="D242" s="329" t="s">
        <v>669</v>
      </c>
    </row>
    <row r="243" spans="3:5">
      <c r="C243" s="30">
        <f t="shared" si="4"/>
        <v>18</v>
      </c>
      <c r="D243" s="325" t="s">
        <v>693</v>
      </c>
    </row>
    <row r="244" spans="3:5">
      <c r="C244" s="30">
        <f t="shared" si="4"/>
        <v>19</v>
      </c>
      <c r="D244" s="325" t="s">
        <v>695</v>
      </c>
    </row>
    <row r="245" spans="3:5">
      <c r="C245" s="30">
        <f t="shared" si="4"/>
        <v>20</v>
      </c>
      <c r="D245" s="329" t="s">
        <v>699</v>
      </c>
    </row>
    <row r="246" spans="3:5">
      <c r="C246" s="30">
        <f t="shared" si="4"/>
        <v>21</v>
      </c>
      <c r="D246" s="325" t="s">
        <v>703</v>
      </c>
    </row>
    <row r="247" spans="3:5">
      <c r="C247" s="30">
        <f t="shared" si="4"/>
        <v>22</v>
      </c>
      <c r="D247" s="272" t="s">
        <v>719</v>
      </c>
    </row>
    <row r="248" spans="3:5">
      <c r="C248" s="30">
        <f t="shared" si="4"/>
        <v>23</v>
      </c>
      <c r="D248" s="272" t="s">
        <v>722</v>
      </c>
    </row>
    <row r="249" spans="3:5" ht="15.75">
      <c r="C249" s="30">
        <f t="shared" si="4"/>
        <v>24</v>
      </c>
      <c r="D249" s="294" t="s">
        <v>724</v>
      </c>
    </row>
    <row r="250" spans="3:5" ht="16.5" thickBot="1">
      <c r="C250" s="30">
        <f t="shared" si="4"/>
        <v>25</v>
      </c>
      <c r="D250" s="331" t="s">
        <v>735</v>
      </c>
    </row>
    <row r="251" spans="3:5" ht="15.75">
      <c r="C251" s="30">
        <f t="shared" si="4"/>
        <v>26</v>
      </c>
      <c r="D251" s="294" t="s">
        <v>724</v>
      </c>
    </row>
    <row r="253" spans="3:5">
      <c r="D253" s="288" t="s">
        <v>801</v>
      </c>
    </row>
    <row r="255" spans="3:5">
      <c r="D255" s="332" t="s">
        <v>802</v>
      </c>
      <c r="E255" s="333" t="s">
        <v>803</v>
      </c>
    </row>
    <row r="256" spans="3:5">
      <c r="D256" s="332" t="s">
        <v>804</v>
      </c>
      <c r="E256" s="333" t="s">
        <v>805</v>
      </c>
    </row>
    <row r="257" spans="4:5">
      <c r="D257" s="332" t="s">
        <v>806</v>
      </c>
      <c r="E257" s="333" t="s">
        <v>807</v>
      </c>
    </row>
    <row r="258" spans="4:5">
      <c r="D258" s="332" t="s">
        <v>808</v>
      </c>
      <c r="E258" s="333" t="s">
        <v>809</v>
      </c>
    </row>
    <row r="260" spans="4:5" ht="15.75">
      <c r="D260" s="334" t="s">
        <v>810</v>
      </c>
    </row>
    <row r="261" spans="4:5">
      <c r="D261" s="332" t="s">
        <v>811</v>
      </c>
    </row>
    <row r="262" spans="4:5">
      <c r="D262" s="332" t="s">
        <v>812</v>
      </c>
    </row>
    <row r="263" spans="4:5" ht="43.5">
      <c r="D263" s="335" t="s">
        <v>813</v>
      </c>
    </row>
    <row r="264" spans="4:5">
      <c r="D264" s="333" t="s">
        <v>814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3EF4-5C54-4D4D-8E3A-CF3C6D213917}">
  <sheetPr filterMode="1"/>
  <dimension ref="A1:T1042"/>
  <sheetViews>
    <sheetView workbookViewId="0">
      <selection activeCell="C1" sqref="C1"/>
    </sheetView>
  </sheetViews>
  <sheetFormatPr defaultRowHeight="15"/>
  <cols>
    <col min="1" max="1" width="12" customWidth="1"/>
    <col min="2" max="2" width="5.28515625" style="2" customWidth="1"/>
    <col min="3" max="3" width="8" style="2" customWidth="1"/>
    <col min="4" max="4" width="6.7109375" style="2" customWidth="1"/>
    <col min="5" max="5" width="8.28515625" style="2" customWidth="1"/>
    <col min="6" max="6" width="6.42578125" style="2" customWidth="1"/>
    <col min="7" max="7" width="13.5703125" style="2" customWidth="1"/>
    <col min="8" max="8" width="6.42578125" style="2" customWidth="1"/>
    <col min="9" max="9" width="38.85546875" customWidth="1"/>
    <col min="10" max="10" width="34.140625" style="4" customWidth="1"/>
    <col min="11" max="11" width="28.28515625" style="4" customWidth="1"/>
    <col min="12" max="12" width="21" customWidth="1"/>
    <col min="13" max="13" width="32.28515625" customWidth="1"/>
  </cols>
  <sheetData>
    <row r="1" spans="1:17" ht="15.75">
      <c r="A1" s="1" t="s">
        <v>815</v>
      </c>
      <c r="B1" s="2" t="s">
        <v>816</v>
      </c>
      <c r="C1" s="2" t="s">
        <v>817</v>
      </c>
      <c r="E1" s="2" t="s">
        <v>818</v>
      </c>
      <c r="I1" s="100" t="s">
        <v>819</v>
      </c>
      <c r="J1" s="101" t="s">
        <v>435</v>
      </c>
      <c r="K1" s="101" t="s">
        <v>434</v>
      </c>
    </row>
    <row r="2" spans="1:17">
      <c r="A2" s="1" t="s">
        <v>820</v>
      </c>
      <c r="B2" s="2" t="s">
        <v>821</v>
      </c>
      <c r="C2" s="2" t="s">
        <v>822</v>
      </c>
      <c r="E2" s="2" t="s">
        <v>823</v>
      </c>
    </row>
    <row r="3" spans="1:17" ht="18.75">
      <c r="A3" s="1" t="s">
        <v>824</v>
      </c>
      <c r="C3" s="2" t="s">
        <v>825</v>
      </c>
      <c r="E3" s="2" t="s">
        <v>826</v>
      </c>
      <c r="I3" s="102" t="s">
        <v>827</v>
      </c>
      <c r="J3" s="103"/>
    </row>
    <row r="4" spans="1:17" ht="18.75">
      <c r="A4" t="s">
        <v>828</v>
      </c>
      <c r="B4" s="7" t="s">
        <v>821</v>
      </c>
      <c r="C4" s="7" t="s">
        <v>829</v>
      </c>
      <c r="D4" s="7"/>
      <c r="E4" s="61" t="s">
        <v>823</v>
      </c>
      <c r="F4" s="61" t="s">
        <v>823</v>
      </c>
      <c r="G4" s="104"/>
      <c r="H4" s="105" t="s">
        <v>3</v>
      </c>
      <c r="I4" s="106" t="s">
        <v>830</v>
      </c>
      <c r="J4" s="107"/>
      <c r="K4" s="108" t="s">
        <v>831</v>
      </c>
      <c r="L4" s="59"/>
      <c r="M4" s="51"/>
      <c r="N4" s="82"/>
      <c r="O4" s="90" t="s">
        <v>829</v>
      </c>
      <c r="P4" s="82"/>
      <c r="Q4" s="3"/>
    </row>
    <row r="5" spans="1:17" ht="16.5">
      <c r="A5" t="s">
        <v>815</v>
      </c>
      <c r="B5" s="7" t="s">
        <v>821</v>
      </c>
      <c r="C5" s="7" t="s">
        <v>832</v>
      </c>
      <c r="D5" s="7"/>
      <c r="E5" s="7" t="s">
        <v>833</v>
      </c>
      <c r="F5" s="7"/>
      <c r="G5" s="7"/>
      <c r="H5" s="7"/>
      <c r="I5" s="109" t="s">
        <v>834</v>
      </c>
      <c r="J5" s="5" t="s">
        <v>835</v>
      </c>
      <c r="K5" s="8" t="s">
        <v>836</v>
      </c>
    </row>
    <row r="6" spans="1:17" ht="16.5">
      <c r="A6" t="s">
        <v>820</v>
      </c>
      <c r="B6" s="7"/>
      <c r="C6" s="7" t="s">
        <v>837</v>
      </c>
      <c r="D6" s="7"/>
      <c r="E6" s="7"/>
      <c r="F6" s="7"/>
      <c r="G6" s="7"/>
      <c r="H6" s="7"/>
      <c r="I6" s="110" t="s">
        <v>838</v>
      </c>
      <c r="J6" s="111" t="s">
        <v>839</v>
      </c>
      <c r="K6" s="9" t="s">
        <v>840</v>
      </c>
    </row>
    <row r="7" spans="1:17" ht="18" customHeight="1">
      <c r="A7" t="s">
        <v>820</v>
      </c>
      <c r="B7" s="7"/>
      <c r="C7" s="7"/>
      <c r="D7" s="7" t="s">
        <v>3</v>
      </c>
      <c r="E7" s="112"/>
      <c r="F7" s="112"/>
      <c r="G7" s="112"/>
      <c r="H7" s="112"/>
      <c r="I7" s="109" t="s">
        <v>841</v>
      </c>
      <c r="J7" s="113" t="s">
        <v>842</v>
      </c>
      <c r="K7" s="114" t="s">
        <v>843</v>
      </c>
    </row>
    <row r="8" spans="1:17" ht="16.5" customHeight="1">
      <c r="A8" t="s">
        <v>828</v>
      </c>
      <c r="B8" s="7" t="s">
        <v>816</v>
      </c>
      <c r="C8" s="7"/>
      <c r="D8" s="7"/>
      <c r="E8" s="7" t="s">
        <v>833</v>
      </c>
      <c r="F8" s="7"/>
      <c r="G8" s="7"/>
      <c r="H8" s="7"/>
      <c r="I8" s="109" t="s">
        <v>844</v>
      </c>
      <c r="J8" s="115" t="s">
        <v>3</v>
      </c>
      <c r="K8" s="114"/>
    </row>
    <row r="9" spans="1:17" ht="16.5">
      <c r="A9" t="s">
        <v>815</v>
      </c>
      <c r="B9" s="7" t="s">
        <v>821</v>
      </c>
      <c r="C9" s="7" t="s">
        <v>3</v>
      </c>
      <c r="D9" s="7"/>
      <c r="E9" s="7" t="s">
        <v>833</v>
      </c>
      <c r="F9" s="7"/>
      <c r="G9" s="7"/>
      <c r="H9" s="7"/>
      <c r="I9" s="10" t="s">
        <v>441</v>
      </c>
      <c r="J9" s="113" t="s">
        <v>845</v>
      </c>
      <c r="K9" s="114" t="s">
        <v>846</v>
      </c>
    </row>
    <row r="10" spans="1:17" ht="16.5" customHeight="1">
      <c r="A10" t="s">
        <v>820</v>
      </c>
      <c r="B10" s="7"/>
      <c r="C10" s="7"/>
      <c r="D10" s="7"/>
      <c r="E10" s="7"/>
      <c r="F10" s="7"/>
      <c r="G10" s="7"/>
      <c r="H10" s="7"/>
      <c r="I10" s="109" t="s">
        <v>847</v>
      </c>
      <c r="J10" s="113" t="s">
        <v>848</v>
      </c>
      <c r="K10" s="116"/>
    </row>
    <row r="11" spans="1:17" ht="18" customHeight="1">
      <c r="A11" t="s">
        <v>820</v>
      </c>
      <c r="B11" s="7"/>
      <c r="C11" s="7"/>
      <c r="D11" s="7"/>
      <c r="E11" s="7"/>
      <c r="F11" s="7"/>
      <c r="G11" s="117" t="s">
        <v>559</v>
      </c>
      <c r="H11" s="7"/>
      <c r="I11" s="109" t="s">
        <v>849</v>
      </c>
      <c r="J11" s="113"/>
      <c r="K11" s="114"/>
    </row>
    <row r="12" spans="1:17" ht="16.5">
      <c r="A12" t="s">
        <v>815</v>
      </c>
      <c r="B12" s="7" t="s">
        <v>850</v>
      </c>
      <c r="C12" s="7" t="s">
        <v>837</v>
      </c>
      <c r="D12" s="7"/>
      <c r="E12" s="7" t="s">
        <v>826</v>
      </c>
      <c r="F12" s="7"/>
      <c r="G12" s="7"/>
      <c r="H12" s="7"/>
      <c r="I12" s="109" t="s">
        <v>851</v>
      </c>
      <c r="J12" s="5" t="s">
        <v>852</v>
      </c>
      <c r="K12" s="114" t="s">
        <v>853</v>
      </c>
    </row>
    <row r="13" spans="1:17" ht="16.5" customHeight="1">
      <c r="A13" t="s">
        <v>820</v>
      </c>
      <c r="B13" s="7"/>
      <c r="C13" s="7" t="s">
        <v>854</v>
      </c>
      <c r="D13" s="7"/>
      <c r="E13" s="7"/>
      <c r="F13" s="7"/>
      <c r="G13" s="7"/>
      <c r="H13" s="7"/>
      <c r="I13" s="109" t="s">
        <v>855</v>
      </c>
      <c r="J13" s="118" t="s">
        <v>3</v>
      </c>
      <c r="K13" s="114" t="s">
        <v>3</v>
      </c>
    </row>
    <row r="14" spans="1:17" ht="16.5">
      <c r="A14" t="s">
        <v>828</v>
      </c>
      <c r="B14" s="7" t="s">
        <v>821</v>
      </c>
      <c r="C14" s="7" t="s">
        <v>856</v>
      </c>
      <c r="D14" s="7"/>
      <c r="E14" s="7" t="s">
        <v>857</v>
      </c>
      <c r="F14" s="7"/>
      <c r="G14" s="7"/>
      <c r="H14" s="7"/>
      <c r="I14" s="109" t="s">
        <v>858</v>
      </c>
      <c r="J14" s="11" t="s">
        <v>859</v>
      </c>
      <c r="K14" s="114" t="s">
        <v>860</v>
      </c>
    </row>
    <row r="15" spans="1:17" ht="16.5">
      <c r="A15" t="s">
        <v>828</v>
      </c>
      <c r="B15" s="7" t="s">
        <v>821</v>
      </c>
      <c r="C15" s="7"/>
      <c r="D15" s="7"/>
      <c r="E15" s="7" t="s">
        <v>857</v>
      </c>
      <c r="F15" s="7"/>
      <c r="G15" s="7"/>
      <c r="H15" s="7"/>
      <c r="I15" s="109" t="s">
        <v>861</v>
      </c>
      <c r="J15" s="113"/>
      <c r="K15" s="114"/>
    </row>
    <row r="16" spans="1:17" ht="21.75" customHeight="1">
      <c r="A16" t="s">
        <v>820</v>
      </c>
      <c r="B16" s="7" t="s">
        <v>821</v>
      </c>
      <c r="C16" s="7"/>
      <c r="D16" s="7"/>
      <c r="E16" s="7"/>
      <c r="F16" s="7"/>
      <c r="G16" s="7"/>
      <c r="H16" s="7"/>
      <c r="I16" s="17" t="s">
        <v>862</v>
      </c>
      <c r="J16" s="113" t="s">
        <v>863</v>
      </c>
      <c r="K16" s="119" t="s">
        <v>864</v>
      </c>
    </row>
    <row r="17" spans="1:20" ht="16.5">
      <c r="A17" t="s">
        <v>820</v>
      </c>
      <c r="B17" s="7"/>
      <c r="C17" s="7"/>
      <c r="D17" s="7"/>
      <c r="E17" s="7"/>
      <c r="F17" s="7"/>
      <c r="G17" s="7"/>
      <c r="H17" s="7"/>
      <c r="I17" s="109" t="s">
        <v>865</v>
      </c>
      <c r="J17" s="113"/>
      <c r="K17" s="114" t="s">
        <v>866</v>
      </c>
    </row>
    <row r="18" spans="1:20" ht="16.5">
      <c r="A18" t="s">
        <v>820</v>
      </c>
      <c r="B18" s="7"/>
      <c r="C18" s="7" t="s">
        <v>867</v>
      </c>
      <c r="D18" s="7"/>
      <c r="E18" s="7"/>
      <c r="F18" s="7"/>
      <c r="G18" s="7"/>
      <c r="H18" s="7"/>
      <c r="I18" s="109" t="s">
        <v>868</v>
      </c>
      <c r="J18" s="13" t="s">
        <v>869</v>
      </c>
      <c r="K18" s="8" t="s">
        <v>870</v>
      </c>
    </row>
    <row r="19" spans="1:20" ht="16.5">
      <c r="A19" t="s">
        <v>828</v>
      </c>
      <c r="B19" s="7" t="s">
        <v>871</v>
      </c>
      <c r="C19" s="120" t="s">
        <v>872</v>
      </c>
      <c r="D19" s="7"/>
      <c r="E19" s="61" t="s">
        <v>823</v>
      </c>
      <c r="F19" s="61" t="s">
        <v>823</v>
      </c>
      <c r="G19" s="104"/>
      <c r="H19" s="105"/>
      <c r="I19" s="121" t="s">
        <v>873</v>
      </c>
      <c r="J19" s="121" t="s">
        <v>874</v>
      </c>
      <c r="K19" s="108"/>
      <c r="L19" s="52" t="s">
        <v>875</v>
      </c>
      <c r="M19" s="52" t="s">
        <v>876</v>
      </c>
      <c r="N19" s="52" t="s">
        <v>877</v>
      </c>
      <c r="O19" s="52" t="s">
        <v>872</v>
      </c>
      <c r="P19" s="3"/>
      <c r="Q19" s="3"/>
      <c r="T19" t="s">
        <v>878</v>
      </c>
    </row>
    <row r="20" spans="1:20" ht="16.5">
      <c r="A20" t="s">
        <v>828</v>
      </c>
      <c r="B20" s="120" t="s">
        <v>879</v>
      </c>
      <c r="C20" s="7" t="s">
        <v>854</v>
      </c>
      <c r="D20" s="7"/>
      <c r="E20" s="61" t="s">
        <v>823</v>
      </c>
      <c r="F20" s="61" t="s">
        <v>823</v>
      </c>
      <c r="G20" s="104" t="s">
        <v>879</v>
      </c>
      <c r="H20" s="105" t="e">
        <f>#REF!+1</f>
        <v>#REF!</v>
      </c>
      <c r="I20" s="64" t="s">
        <v>880</v>
      </c>
      <c r="J20" s="122"/>
      <c r="K20" s="108"/>
      <c r="L20" s="59"/>
      <c r="M20" s="51"/>
      <c r="N20" s="82"/>
      <c r="O20" s="90" t="s">
        <v>854</v>
      </c>
      <c r="P20" s="82" t="s">
        <v>879</v>
      </c>
      <c r="Q20" s="3"/>
    </row>
    <row r="21" spans="1:20" ht="16.5">
      <c r="A21" t="s">
        <v>820</v>
      </c>
      <c r="B21" s="7" t="s">
        <v>881</v>
      </c>
      <c r="C21" s="7"/>
      <c r="D21" s="7"/>
      <c r="E21" s="7" t="s">
        <v>882</v>
      </c>
      <c r="F21" s="7"/>
      <c r="G21" s="7"/>
      <c r="H21" s="7"/>
      <c r="I21" s="109" t="s">
        <v>883</v>
      </c>
      <c r="J21" s="113"/>
      <c r="K21" s="114"/>
    </row>
    <row r="22" spans="1:20" ht="16.5">
      <c r="A22" t="s">
        <v>828</v>
      </c>
      <c r="B22" s="7"/>
      <c r="C22" s="120" t="s">
        <v>884</v>
      </c>
      <c r="D22" s="7"/>
      <c r="E22" s="61" t="s">
        <v>823</v>
      </c>
      <c r="F22" s="61" t="s">
        <v>823</v>
      </c>
      <c r="G22" s="104"/>
      <c r="H22" s="105"/>
      <c r="I22" s="121" t="s">
        <v>885</v>
      </c>
      <c r="J22" s="123" t="s">
        <v>886</v>
      </c>
      <c r="K22" s="108"/>
      <c r="L22" s="59"/>
      <c r="M22" s="51" t="s">
        <v>887</v>
      </c>
      <c r="N22" s="82"/>
      <c r="O22" s="52" t="s">
        <v>884</v>
      </c>
      <c r="P22" s="82"/>
      <c r="Q22" s="3"/>
    </row>
    <row r="23" spans="1:20" ht="18" customHeight="1">
      <c r="A23" t="s">
        <v>815</v>
      </c>
      <c r="B23" s="7"/>
      <c r="C23" s="7"/>
      <c r="D23" s="7"/>
      <c r="E23" s="7" t="s">
        <v>833</v>
      </c>
      <c r="F23" s="7"/>
      <c r="G23" s="7"/>
      <c r="H23" s="7"/>
      <c r="I23" s="10" t="s">
        <v>888</v>
      </c>
      <c r="J23" s="5"/>
      <c r="K23" s="114"/>
    </row>
    <row r="24" spans="1:20" ht="16.5">
      <c r="A24" t="s">
        <v>820</v>
      </c>
      <c r="B24" s="7"/>
      <c r="C24" s="7"/>
      <c r="D24" s="7"/>
      <c r="E24" s="39"/>
      <c r="F24" s="39"/>
      <c r="G24" s="39"/>
      <c r="H24" s="39"/>
      <c r="I24" s="10" t="s">
        <v>889</v>
      </c>
      <c r="J24" s="5" t="s">
        <v>890</v>
      </c>
      <c r="K24" s="114"/>
    </row>
    <row r="25" spans="1:20" ht="16.5">
      <c r="A25" t="s">
        <v>820</v>
      </c>
      <c r="B25" s="7"/>
      <c r="C25" s="7" t="s">
        <v>854</v>
      </c>
      <c r="D25" s="7"/>
      <c r="E25" s="39"/>
      <c r="F25" s="39"/>
      <c r="G25" s="39"/>
      <c r="H25" s="39"/>
      <c r="I25" s="17" t="s">
        <v>891</v>
      </c>
      <c r="J25" s="118" t="s">
        <v>3</v>
      </c>
      <c r="K25" s="114" t="s">
        <v>3</v>
      </c>
    </row>
    <row r="26" spans="1:20" ht="16.5">
      <c r="A26" t="s">
        <v>820</v>
      </c>
      <c r="B26" s="7" t="s">
        <v>892</v>
      </c>
      <c r="C26" s="7"/>
      <c r="D26" s="7"/>
      <c r="E26" s="7"/>
      <c r="F26" s="7"/>
      <c r="G26" s="7"/>
      <c r="H26" s="7"/>
      <c r="I26" s="10" t="s">
        <v>893</v>
      </c>
      <c r="J26" s="5" t="s">
        <v>894</v>
      </c>
      <c r="K26" s="114" t="s">
        <v>895</v>
      </c>
    </row>
    <row r="27" spans="1:20" ht="16.5">
      <c r="A27" t="s">
        <v>815</v>
      </c>
      <c r="B27" s="7" t="s">
        <v>821</v>
      </c>
      <c r="C27" s="7"/>
      <c r="D27" s="7"/>
      <c r="E27" s="7" t="s">
        <v>833</v>
      </c>
      <c r="F27" s="7"/>
      <c r="G27" s="7"/>
      <c r="H27" s="7"/>
      <c r="I27" s="10" t="s">
        <v>896</v>
      </c>
      <c r="J27" s="5" t="s">
        <v>897</v>
      </c>
      <c r="K27" s="114"/>
    </row>
    <row r="28" spans="1:20" ht="16.5">
      <c r="A28" t="s">
        <v>820</v>
      </c>
      <c r="B28" s="7" t="s">
        <v>892</v>
      </c>
      <c r="C28" s="7" t="s">
        <v>898</v>
      </c>
      <c r="D28" s="7"/>
      <c r="E28" s="7"/>
      <c r="F28" s="7"/>
      <c r="G28" s="7"/>
      <c r="H28" s="7"/>
      <c r="I28" s="109" t="s">
        <v>899</v>
      </c>
      <c r="J28" s="113"/>
      <c r="K28" s="114" t="s">
        <v>900</v>
      </c>
    </row>
    <row r="29" spans="1:20" ht="16.5">
      <c r="A29" t="s">
        <v>820</v>
      </c>
      <c r="B29" s="7"/>
      <c r="C29" s="7"/>
      <c r="D29" s="7"/>
      <c r="E29" s="7"/>
      <c r="F29" s="7"/>
      <c r="G29" s="7"/>
      <c r="H29" s="7"/>
      <c r="I29" s="110" t="s">
        <v>901</v>
      </c>
      <c r="J29" s="111"/>
      <c r="K29" s="119" t="s">
        <v>3</v>
      </c>
    </row>
    <row r="30" spans="1:20" ht="16.5" customHeight="1">
      <c r="A30" t="s">
        <v>820</v>
      </c>
      <c r="B30" s="7"/>
      <c r="C30" s="7"/>
      <c r="D30" s="7"/>
      <c r="E30" s="7"/>
      <c r="F30" s="7"/>
      <c r="G30" s="7"/>
      <c r="H30" s="7"/>
      <c r="I30" s="109" t="s">
        <v>902</v>
      </c>
      <c r="J30" s="109" t="s">
        <v>903</v>
      </c>
      <c r="K30" s="116"/>
    </row>
    <row r="31" spans="1:20" ht="16.5">
      <c r="A31" t="s">
        <v>820</v>
      </c>
      <c r="B31" s="7" t="s">
        <v>3</v>
      </c>
      <c r="C31" s="7" t="s">
        <v>837</v>
      </c>
      <c r="D31" s="7"/>
      <c r="E31" s="7"/>
      <c r="F31" s="7"/>
      <c r="G31" s="7"/>
      <c r="H31" s="7"/>
      <c r="I31" s="109" t="s">
        <v>904</v>
      </c>
      <c r="J31" s="5" t="s">
        <v>905</v>
      </c>
      <c r="K31" s="114" t="s">
        <v>906</v>
      </c>
    </row>
    <row r="32" spans="1:20" ht="16.5">
      <c r="A32" t="s">
        <v>820</v>
      </c>
      <c r="B32" s="7" t="s">
        <v>821</v>
      </c>
      <c r="C32" s="7" t="s">
        <v>3</v>
      </c>
      <c r="D32" s="7"/>
      <c r="E32" s="7" t="s">
        <v>826</v>
      </c>
      <c r="F32" s="7"/>
      <c r="G32" s="7"/>
      <c r="H32" s="7"/>
      <c r="I32" s="109" t="s">
        <v>907</v>
      </c>
      <c r="J32" s="113"/>
      <c r="K32" s="114" t="s">
        <v>908</v>
      </c>
    </row>
    <row r="33" spans="1:17" ht="16.5" customHeight="1">
      <c r="A33" t="s">
        <v>815</v>
      </c>
      <c r="B33" s="7" t="s">
        <v>821</v>
      </c>
      <c r="C33" s="7" t="s">
        <v>3</v>
      </c>
      <c r="D33" s="7"/>
      <c r="E33" s="7" t="s">
        <v>833</v>
      </c>
      <c r="F33" s="7"/>
      <c r="G33" s="7"/>
      <c r="H33" s="7"/>
      <c r="I33" s="10" t="s">
        <v>909</v>
      </c>
      <c r="J33" s="5"/>
      <c r="K33" s="114"/>
    </row>
    <row r="34" spans="1:17" ht="18" customHeight="1">
      <c r="A34" t="s">
        <v>828</v>
      </c>
      <c r="B34" s="7" t="s">
        <v>892</v>
      </c>
      <c r="C34" s="7" t="s">
        <v>854</v>
      </c>
      <c r="D34" s="7"/>
      <c r="E34" s="61" t="s">
        <v>823</v>
      </c>
      <c r="F34" s="61" t="s">
        <v>823</v>
      </c>
      <c r="G34" s="104" t="s">
        <v>910</v>
      </c>
      <c r="H34" s="105"/>
      <c r="I34" s="124" t="s">
        <v>911</v>
      </c>
      <c r="J34" s="122"/>
      <c r="K34" s="108"/>
      <c r="L34" s="59"/>
      <c r="M34" s="3"/>
      <c r="N34" s="82"/>
      <c r="O34" s="90"/>
      <c r="P34" s="82"/>
      <c r="Q34" s="3"/>
    </row>
    <row r="35" spans="1:17" ht="18" customHeight="1">
      <c r="A35" t="s">
        <v>828</v>
      </c>
      <c r="B35" s="7"/>
      <c r="C35" s="7" t="s">
        <v>854</v>
      </c>
      <c r="D35" s="7"/>
      <c r="E35" s="61" t="s">
        <v>823</v>
      </c>
      <c r="F35" s="61" t="s">
        <v>823</v>
      </c>
      <c r="G35" s="104"/>
      <c r="H35" s="105" t="e">
        <f>#REF!+1</f>
        <v>#REF!</v>
      </c>
      <c r="I35" s="106" t="s">
        <v>912</v>
      </c>
      <c r="J35" s="65" t="s">
        <v>913</v>
      </c>
      <c r="K35" s="108" t="s">
        <v>914</v>
      </c>
      <c r="L35" s="59" t="s">
        <v>915</v>
      </c>
      <c r="M35" s="51" t="s">
        <v>916</v>
      </c>
      <c r="N35" s="82"/>
      <c r="O35" s="90" t="s">
        <v>854</v>
      </c>
      <c r="P35" s="82"/>
      <c r="Q35" s="3"/>
    </row>
    <row r="36" spans="1:17" ht="16.5">
      <c r="A36" t="s">
        <v>828</v>
      </c>
      <c r="B36" s="7"/>
      <c r="C36" s="7" t="s">
        <v>854</v>
      </c>
      <c r="D36" s="7"/>
      <c r="E36" s="61" t="s">
        <v>823</v>
      </c>
      <c r="F36" s="61" t="s">
        <v>823</v>
      </c>
      <c r="G36" s="104"/>
      <c r="H36" s="105" t="e">
        <f>H35+1</f>
        <v>#REF!</v>
      </c>
      <c r="I36" s="106" t="s">
        <v>917</v>
      </c>
      <c r="J36" s="106" t="s">
        <v>918</v>
      </c>
      <c r="K36" s="108" t="s">
        <v>919</v>
      </c>
      <c r="L36" s="59" t="s">
        <v>920</v>
      </c>
      <c r="M36" s="51" t="s">
        <v>921</v>
      </c>
      <c r="N36" s="82"/>
      <c r="O36" s="90" t="s">
        <v>854</v>
      </c>
      <c r="P36" s="82"/>
      <c r="Q36" s="3"/>
    </row>
    <row r="37" spans="1:17" ht="16.5" customHeight="1">
      <c r="B37" s="7"/>
      <c r="C37" s="7"/>
      <c r="D37" s="7"/>
      <c r="E37" s="7"/>
      <c r="F37" s="7"/>
      <c r="G37" s="7"/>
      <c r="H37" s="7"/>
      <c r="I37" s="109" t="s">
        <v>922</v>
      </c>
      <c r="J37" s="109" t="s">
        <v>923</v>
      </c>
      <c r="K37" s="116"/>
    </row>
    <row r="38" spans="1:17" ht="16.5">
      <c r="A38" t="s">
        <v>820</v>
      </c>
      <c r="B38" s="7"/>
      <c r="C38" s="7" t="s">
        <v>829</v>
      </c>
      <c r="D38" s="7"/>
      <c r="E38" s="7" t="s">
        <v>924</v>
      </c>
      <c r="F38" s="7"/>
      <c r="G38" s="7"/>
      <c r="H38" s="7"/>
      <c r="I38" s="109" t="s">
        <v>925</v>
      </c>
      <c r="J38" s="113" t="s">
        <v>926</v>
      </c>
      <c r="K38" s="114" t="s">
        <v>927</v>
      </c>
    </row>
    <row r="39" spans="1:17" ht="16.5">
      <c r="A39" t="s">
        <v>820</v>
      </c>
      <c r="B39" s="7"/>
      <c r="C39" s="7"/>
      <c r="D39" s="7"/>
      <c r="E39" s="7"/>
      <c r="F39" s="7"/>
      <c r="G39" s="7"/>
      <c r="H39" s="7"/>
      <c r="I39" s="125" t="s">
        <v>928</v>
      </c>
      <c r="J39" s="5"/>
      <c r="K39" s="114" t="s">
        <v>929</v>
      </c>
    </row>
    <row r="40" spans="1:17" ht="16.5" customHeight="1">
      <c r="A40" t="s">
        <v>820</v>
      </c>
      <c r="B40" s="7"/>
      <c r="C40" s="7"/>
      <c r="D40" s="7"/>
      <c r="E40" s="7"/>
      <c r="F40" s="7"/>
      <c r="G40" s="7"/>
      <c r="H40" s="7"/>
      <c r="I40" s="109" t="s">
        <v>930</v>
      </c>
      <c r="J40" s="5" t="s">
        <v>931</v>
      </c>
      <c r="K40" s="114" t="s">
        <v>932</v>
      </c>
    </row>
    <row r="41" spans="1:17" ht="16.5">
      <c r="A41" t="s">
        <v>828</v>
      </c>
      <c r="B41" s="7" t="s">
        <v>821</v>
      </c>
      <c r="C41" s="7"/>
      <c r="D41" s="7"/>
      <c r="E41" s="7" t="s">
        <v>826</v>
      </c>
      <c r="F41" s="7"/>
      <c r="G41" s="7"/>
      <c r="H41" s="7"/>
      <c r="I41" s="110" t="s">
        <v>933</v>
      </c>
      <c r="J41" s="111"/>
      <c r="K41" s="9"/>
    </row>
    <row r="42" spans="1:17" ht="16.5">
      <c r="A42" t="s">
        <v>820</v>
      </c>
      <c r="B42" s="7"/>
      <c r="C42" s="7"/>
      <c r="D42" s="7"/>
      <c r="E42" s="7"/>
      <c r="F42" s="7"/>
      <c r="G42" s="7"/>
      <c r="H42" s="7"/>
      <c r="I42" s="109" t="s">
        <v>934</v>
      </c>
      <c r="J42" s="113"/>
      <c r="K42" s="114" t="s">
        <v>935</v>
      </c>
    </row>
    <row r="43" spans="1:17" ht="16.5" customHeight="1">
      <c r="A43" t="s">
        <v>820</v>
      </c>
      <c r="B43" s="7"/>
      <c r="C43" s="7"/>
      <c r="D43" s="7"/>
      <c r="E43" s="7"/>
      <c r="F43" s="7"/>
      <c r="G43" s="7"/>
      <c r="H43" s="7"/>
      <c r="I43" s="109" t="s">
        <v>936</v>
      </c>
      <c r="J43" s="118" t="s">
        <v>3</v>
      </c>
      <c r="K43" s="114" t="s">
        <v>3</v>
      </c>
    </row>
    <row r="44" spans="1:17" ht="19.5" customHeight="1">
      <c r="A44" t="s">
        <v>828</v>
      </c>
      <c r="B44" s="7"/>
      <c r="C44" s="7"/>
      <c r="D44" s="7"/>
      <c r="E44" s="61" t="s">
        <v>823</v>
      </c>
      <c r="F44" s="63" t="s">
        <v>823</v>
      </c>
      <c r="G44" s="126"/>
      <c r="H44" s="127" t="e">
        <f>#REF!+1</f>
        <v>#REF!</v>
      </c>
      <c r="I44" s="128" t="s">
        <v>937</v>
      </c>
      <c r="J44" s="123" t="s">
        <v>938</v>
      </c>
      <c r="K44" s="108" t="s">
        <v>939</v>
      </c>
      <c r="L44" s="59"/>
      <c r="M44" s="51" t="s">
        <v>940</v>
      </c>
      <c r="N44" s="82"/>
      <c r="O44" s="90"/>
      <c r="P44" s="82"/>
      <c r="Q44" s="3"/>
    </row>
    <row r="45" spans="1:17" ht="18" customHeight="1">
      <c r="A45" t="s">
        <v>820</v>
      </c>
      <c r="B45" s="7"/>
      <c r="C45" s="7"/>
      <c r="D45" s="7"/>
      <c r="E45" s="7"/>
      <c r="F45" s="129"/>
      <c r="G45" s="129"/>
      <c r="H45" s="129"/>
      <c r="I45" s="130" t="s">
        <v>941</v>
      </c>
      <c r="J45" s="13" t="s">
        <v>942</v>
      </c>
      <c r="K45" s="8"/>
    </row>
    <row r="46" spans="1:17" ht="16.5">
      <c r="A46" t="s">
        <v>820</v>
      </c>
      <c r="B46" s="7"/>
      <c r="C46" s="7"/>
      <c r="D46" s="7"/>
      <c r="E46" s="7" t="s">
        <v>943</v>
      </c>
      <c r="F46" s="7"/>
      <c r="G46" s="7"/>
      <c r="H46" s="7"/>
      <c r="I46" s="109" t="s">
        <v>944</v>
      </c>
      <c r="J46" s="10" t="s">
        <v>945</v>
      </c>
      <c r="K46" s="114" t="s">
        <v>946</v>
      </c>
    </row>
    <row r="47" spans="1:17" ht="16.5">
      <c r="A47" t="s">
        <v>820</v>
      </c>
      <c r="B47" s="7"/>
      <c r="C47" s="7"/>
      <c r="D47" s="7"/>
      <c r="E47" s="7"/>
      <c r="F47" s="7"/>
      <c r="G47" s="7"/>
      <c r="H47" s="7"/>
      <c r="I47" s="109" t="s">
        <v>947</v>
      </c>
      <c r="J47" s="109"/>
      <c r="K47" s="114" t="s">
        <v>948</v>
      </c>
    </row>
    <row r="48" spans="1:17" ht="18" customHeight="1">
      <c r="A48" t="s">
        <v>820</v>
      </c>
      <c r="B48" s="7"/>
      <c r="C48" s="7"/>
      <c r="D48" s="7"/>
      <c r="E48" s="7" t="s">
        <v>949</v>
      </c>
      <c r="F48" s="7"/>
      <c r="G48" s="7"/>
      <c r="H48" s="7"/>
      <c r="I48" s="109" t="s">
        <v>950</v>
      </c>
      <c r="J48" s="113" t="s">
        <v>951</v>
      </c>
      <c r="K48" s="114" t="s">
        <v>952</v>
      </c>
    </row>
    <row r="49" spans="1:14" ht="18" customHeight="1">
      <c r="A49" t="s">
        <v>820</v>
      </c>
      <c r="B49" s="7"/>
      <c r="C49" s="7"/>
      <c r="D49" s="7"/>
      <c r="E49" s="7"/>
      <c r="F49" s="7"/>
      <c r="G49" s="7"/>
      <c r="H49" s="7"/>
      <c r="I49" s="109" t="s">
        <v>953</v>
      </c>
      <c r="J49" s="251" t="s">
        <v>954</v>
      </c>
      <c r="K49" s="114" t="s">
        <v>955</v>
      </c>
    </row>
    <row r="50" spans="1:14" ht="18" customHeight="1">
      <c r="A50" t="s">
        <v>828</v>
      </c>
      <c r="B50" s="7" t="s">
        <v>850</v>
      </c>
      <c r="C50" s="7" t="s">
        <v>825</v>
      </c>
      <c r="D50" s="7"/>
      <c r="E50" s="7" t="s">
        <v>826</v>
      </c>
      <c r="F50" s="7"/>
      <c r="G50" s="7"/>
      <c r="H50" s="7"/>
      <c r="I50" s="109" t="s">
        <v>956</v>
      </c>
      <c r="J50" s="113" t="s">
        <v>957</v>
      </c>
      <c r="K50" s="114" t="s">
        <v>958</v>
      </c>
    </row>
    <row r="51" spans="1:14" ht="16.5" customHeight="1">
      <c r="A51" t="s">
        <v>828</v>
      </c>
      <c r="B51" s="7" t="s">
        <v>850</v>
      </c>
      <c r="C51" s="7"/>
      <c r="D51" s="7"/>
      <c r="E51" s="7"/>
      <c r="F51" s="7"/>
      <c r="G51" s="7"/>
      <c r="H51" s="7"/>
      <c r="I51" s="109" t="s">
        <v>959</v>
      </c>
      <c r="J51" s="113" t="s">
        <v>960</v>
      </c>
      <c r="K51" s="114" t="s">
        <v>961</v>
      </c>
    </row>
    <row r="52" spans="1:14" ht="16.5" customHeight="1">
      <c r="A52" t="s">
        <v>828</v>
      </c>
      <c r="B52" s="7"/>
      <c r="C52" s="7"/>
      <c r="D52" s="7"/>
      <c r="E52" s="7"/>
      <c r="F52" s="7"/>
      <c r="G52" s="7"/>
      <c r="H52" s="7"/>
      <c r="I52" s="109" t="s">
        <v>962</v>
      </c>
      <c r="J52" s="131" t="s">
        <v>963</v>
      </c>
      <c r="K52" s="116"/>
    </row>
    <row r="53" spans="1:14" ht="16.5">
      <c r="A53" t="s">
        <v>828</v>
      </c>
      <c r="B53" s="7" t="s">
        <v>881</v>
      </c>
      <c r="C53" s="7" t="s">
        <v>3</v>
      </c>
      <c r="D53" s="7"/>
      <c r="E53" s="62" t="s">
        <v>964</v>
      </c>
      <c r="F53" s="62" t="s">
        <v>965</v>
      </c>
      <c r="G53" s="133">
        <v>45005</v>
      </c>
      <c r="H53" s="134">
        <v>1</v>
      </c>
      <c r="I53" s="135" t="s">
        <v>966</v>
      </c>
      <c r="J53" s="136" t="s">
        <v>967</v>
      </c>
      <c r="K53" s="137" t="s">
        <v>968</v>
      </c>
      <c r="L53" s="44" t="s">
        <v>969</v>
      </c>
      <c r="M53" s="44" t="s">
        <v>3</v>
      </c>
      <c r="N53" s="26" t="s">
        <v>970</v>
      </c>
    </row>
    <row r="54" spans="1:14" ht="16.5">
      <c r="A54" t="s">
        <v>820</v>
      </c>
      <c r="B54" s="7"/>
      <c r="C54" s="7"/>
      <c r="D54" s="7"/>
      <c r="E54" s="7"/>
      <c r="F54" s="7"/>
      <c r="G54" s="117" t="s">
        <v>559</v>
      </c>
      <c r="H54" s="7"/>
      <c r="I54" s="109" t="s">
        <v>971</v>
      </c>
      <c r="J54" s="113"/>
      <c r="K54" s="114"/>
    </row>
    <row r="55" spans="1:14" ht="16.5">
      <c r="B55" s="7"/>
      <c r="C55" s="7"/>
      <c r="D55" s="7"/>
      <c r="E55" s="7"/>
      <c r="F55" s="7"/>
      <c r="G55" s="117"/>
      <c r="H55" s="7"/>
      <c r="I55" s="253" t="s">
        <v>972</v>
      </c>
      <c r="J55" s="113"/>
      <c r="K55" s="114"/>
    </row>
    <row r="56" spans="1:14" ht="16.5">
      <c r="B56" s="7"/>
      <c r="C56" s="7"/>
      <c r="D56" s="7"/>
      <c r="E56" s="7"/>
      <c r="F56" s="7"/>
      <c r="G56" s="117"/>
      <c r="H56" s="7"/>
      <c r="I56" s="109"/>
      <c r="J56" s="113"/>
      <c r="K56" s="114"/>
    </row>
    <row r="57" spans="1:14" ht="16.5">
      <c r="A57" t="s">
        <v>820</v>
      </c>
      <c r="B57" s="7"/>
      <c r="C57" s="7"/>
      <c r="D57" s="7"/>
      <c r="E57" s="7"/>
      <c r="F57" s="7"/>
      <c r="G57" s="117" t="s">
        <v>559</v>
      </c>
      <c r="H57" s="7"/>
      <c r="I57" s="109" t="s">
        <v>973</v>
      </c>
      <c r="J57" s="113" t="s">
        <v>974</v>
      </c>
      <c r="K57" s="114"/>
    </row>
    <row r="58" spans="1:14" ht="16.5">
      <c r="A58" t="s">
        <v>828</v>
      </c>
      <c r="B58" s="7"/>
      <c r="C58" s="7" t="s">
        <v>837</v>
      </c>
      <c r="D58" s="7"/>
      <c r="E58" s="7"/>
      <c r="F58" s="7"/>
      <c r="G58" s="7"/>
      <c r="H58" s="7"/>
      <c r="I58" s="109" t="s">
        <v>975</v>
      </c>
      <c r="J58" s="113" t="s">
        <v>976</v>
      </c>
      <c r="K58" s="114" t="s">
        <v>977</v>
      </c>
    </row>
    <row r="59" spans="1:14" ht="16.5">
      <c r="A59" t="s">
        <v>978</v>
      </c>
      <c r="B59" s="7"/>
      <c r="C59" s="7"/>
      <c r="D59" s="7"/>
      <c r="E59" s="7"/>
      <c r="F59" s="7"/>
      <c r="G59" s="7"/>
      <c r="H59" s="7"/>
      <c r="I59" s="113" t="s">
        <v>979</v>
      </c>
      <c r="J59" s="113" t="s">
        <v>980</v>
      </c>
      <c r="K59" s="114"/>
    </row>
    <row r="60" spans="1:14" ht="16.5">
      <c r="A60" t="s">
        <v>820</v>
      </c>
      <c r="B60" s="7" t="s">
        <v>821</v>
      </c>
      <c r="C60" s="7"/>
      <c r="D60" s="7"/>
      <c r="E60" s="7"/>
      <c r="F60" s="7"/>
      <c r="G60" s="7"/>
      <c r="H60" s="7"/>
      <c r="I60" s="113" t="s">
        <v>981</v>
      </c>
      <c r="J60" s="113"/>
      <c r="K60" s="114"/>
    </row>
    <row r="61" spans="1:14" ht="16.5">
      <c r="A61" t="s">
        <v>978</v>
      </c>
      <c r="B61" s="7"/>
      <c r="C61" s="7"/>
      <c r="D61" s="7"/>
      <c r="E61" s="7"/>
      <c r="F61" s="7"/>
      <c r="G61" s="7"/>
      <c r="H61" s="7"/>
      <c r="I61" s="113" t="s">
        <v>982</v>
      </c>
      <c r="J61" s="5" t="s">
        <v>983</v>
      </c>
      <c r="K61" s="138" t="s">
        <v>984</v>
      </c>
    </row>
    <row r="62" spans="1:14" ht="16.5">
      <c r="A62" t="s">
        <v>828</v>
      </c>
      <c r="B62" s="7" t="s">
        <v>821</v>
      </c>
      <c r="C62" s="7"/>
      <c r="D62" s="7"/>
      <c r="E62" s="7" t="s">
        <v>826</v>
      </c>
      <c r="F62" s="7"/>
      <c r="G62" s="7"/>
      <c r="H62" s="7"/>
      <c r="I62" s="113" t="s">
        <v>985</v>
      </c>
      <c r="J62" s="113" t="s">
        <v>986</v>
      </c>
      <c r="K62" s="114" t="s">
        <v>987</v>
      </c>
    </row>
    <row r="63" spans="1:14" ht="16.5">
      <c r="A63" t="s">
        <v>828</v>
      </c>
      <c r="B63" s="7" t="s">
        <v>821</v>
      </c>
      <c r="C63" s="7"/>
      <c r="D63" s="7"/>
      <c r="E63" s="7" t="s">
        <v>826</v>
      </c>
      <c r="F63" s="7"/>
      <c r="G63" s="7"/>
      <c r="H63" s="7"/>
      <c r="I63" s="113" t="s">
        <v>988</v>
      </c>
      <c r="J63" s="113" t="s">
        <v>989</v>
      </c>
      <c r="K63" s="114" t="s">
        <v>990</v>
      </c>
    </row>
    <row r="64" spans="1:14" ht="16.5">
      <c r="A64" t="s">
        <v>978</v>
      </c>
      <c r="B64" s="7"/>
      <c r="C64" s="7"/>
      <c r="D64" s="7"/>
      <c r="E64" s="7"/>
      <c r="F64" s="7"/>
      <c r="G64" s="7"/>
      <c r="H64" s="7"/>
      <c r="I64" s="113" t="s">
        <v>991</v>
      </c>
      <c r="J64" s="118">
        <v>44757</v>
      </c>
      <c r="K64" s="114" t="s">
        <v>499</v>
      </c>
    </row>
    <row r="65" spans="1:17" ht="16.5" customHeight="1">
      <c r="A65" t="s">
        <v>820</v>
      </c>
      <c r="B65" s="7"/>
      <c r="C65" s="7"/>
      <c r="D65" s="7"/>
      <c r="E65" s="7"/>
      <c r="F65" s="7"/>
      <c r="G65" s="7"/>
      <c r="H65" s="7"/>
      <c r="I65" s="109" t="s">
        <v>992</v>
      </c>
      <c r="J65" s="109"/>
      <c r="K65" s="116"/>
    </row>
    <row r="66" spans="1:17" ht="16.5" customHeight="1">
      <c r="A66" t="s">
        <v>820</v>
      </c>
      <c r="B66" s="7"/>
      <c r="C66" s="7"/>
      <c r="D66" s="7"/>
      <c r="E66" s="7"/>
      <c r="F66" s="7"/>
      <c r="G66" s="7"/>
      <c r="H66" s="7"/>
      <c r="I66" s="110" t="s">
        <v>993</v>
      </c>
      <c r="J66" s="111"/>
      <c r="K66" s="119" t="s">
        <v>3</v>
      </c>
    </row>
    <row r="67" spans="1:17" ht="16.5" customHeight="1">
      <c r="A67" t="s">
        <v>820</v>
      </c>
      <c r="B67" s="7" t="s">
        <v>881</v>
      </c>
      <c r="C67" s="7" t="s">
        <v>3</v>
      </c>
      <c r="D67" s="7"/>
      <c r="E67" s="7"/>
      <c r="F67" s="7"/>
      <c r="G67" s="7"/>
      <c r="H67" s="7"/>
      <c r="I67" s="109" t="s">
        <v>994</v>
      </c>
      <c r="J67" s="113" t="s">
        <v>995</v>
      </c>
      <c r="K67" s="114"/>
    </row>
    <row r="68" spans="1:17" ht="16.5">
      <c r="A68" t="s">
        <v>828</v>
      </c>
      <c r="B68" s="7" t="s">
        <v>821</v>
      </c>
      <c r="C68" s="7" t="s">
        <v>854</v>
      </c>
      <c r="D68" s="7"/>
      <c r="E68" s="7" t="s">
        <v>826</v>
      </c>
      <c r="F68" s="7"/>
      <c r="G68" s="7"/>
      <c r="H68" s="7"/>
      <c r="I68" s="110" t="s">
        <v>996</v>
      </c>
      <c r="J68" s="17" t="s">
        <v>997</v>
      </c>
      <c r="K68" s="9" t="s">
        <v>998</v>
      </c>
    </row>
    <row r="69" spans="1:17" ht="16.5">
      <c r="A69" t="s">
        <v>828</v>
      </c>
      <c r="B69" s="7" t="s">
        <v>850</v>
      </c>
      <c r="C69" s="7"/>
      <c r="D69" s="7"/>
      <c r="E69" s="7"/>
      <c r="F69" s="7"/>
      <c r="G69" s="7"/>
      <c r="H69" s="7"/>
      <c r="I69" s="109" t="s">
        <v>999</v>
      </c>
      <c r="J69" s="113" t="s">
        <v>1000</v>
      </c>
      <c r="K69" s="114" t="s">
        <v>1001</v>
      </c>
    </row>
    <row r="70" spans="1:17" ht="16.5">
      <c r="A70" t="s">
        <v>1002</v>
      </c>
      <c r="B70" s="7"/>
      <c r="C70" s="7"/>
      <c r="D70" s="7"/>
      <c r="E70" s="7"/>
      <c r="F70" s="7"/>
      <c r="G70" s="7"/>
      <c r="H70" s="7"/>
      <c r="I70" s="109" t="s">
        <v>1003</v>
      </c>
      <c r="J70" s="113" t="s">
        <v>1004</v>
      </c>
      <c r="K70" s="8" t="s">
        <v>1005</v>
      </c>
    </row>
    <row r="71" spans="1:17" ht="16.5">
      <c r="A71" t="s">
        <v>828</v>
      </c>
      <c r="B71" s="7" t="s">
        <v>1006</v>
      </c>
      <c r="C71" s="7" t="s">
        <v>854</v>
      </c>
      <c r="D71" s="7" t="s">
        <v>1007</v>
      </c>
      <c r="E71" s="61" t="s">
        <v>823</v>
      </c>
      <c r="F71" s="61" t="s">
        <v>823</v>
      </c>
      <c r="G71" s="104"/>
      <c r="H71" s="105" t="e">
        <f>#REF!+1</f>
        <v>#REF!</v>
      </c>
      <c r="I71" s="124" t="s">
        <v>1008</v>
      </c>
      <c r="J71" s="123" t="s">
        <v>1009</v>
      </c>
      <c r="K71" s="108" t="s">
        <v>1010</v>
      </c>
      <c r="L71" s="59"/>
      <c r="M71" s="51"/>
      <c r="N71" s="82"/>
      <c r="O71" s="90" t="s">
        <v>854</v>
      </c>
      <c r="P71" s="82" t="s">
        <v>850</v>
      </c>
      <c r="Q71" s="3" t="s">
        <v>1007</v>
      </c>
    </row>
    <row r="72" spans="1:17" ht="18" customHeight="1">
      <c r="A72" t="s">
        <v>978</v>
      </c>
      <c r="B72" s="7" t="s">
        <v>850</v>
      </c>
      <c r="C72" s="7"/>
      <c r="D72" s="7"/>
      <c r="E72" s="7" t="s">
        <v>833</v>
      </c>
      <c r="F72" s="7"/>
      <c r="G72" s="7"/>
      <c r="H72" s="7"/>
      <c r="I72" s="109" t="s">
        <v>1011</v>
      </c>
      <c r="J72" s="113"/>
      <c r="K72" s="114" t="s">
        <v>1012</v>
      </c>
    </row>
    <row r="73" spans="1:17" ht="16.5">
      <c r="A73" t="s">
        <v>828</v>
      </c>
      <c r="B73" s="7"/>
      <c r="C73" s="7" t="s">
        <v>825</v>
      </c>
      <c r="D73" s="7"/>
      <c r="E73" s="61" t="s">
        <v>823</v>
      </c>
      <c r="F73" s="61" t="s">
        <v>823</v>
      </c>
      <c r="G73" s="104"/>
      <c r="H73" s="105">
        <v>1</v>
      </c>
      <c r="I73" s="106" t="s">
        <v>1013</v>
      </c>
      <c r="J73" s="139" t="s">
        <v>633</v>
      </c>
      <c r="K73" s="108"/>
      <c r="L73" s="59"/>
      <c r="M73" s="51"/>
      <c r="N73" s="82"/>
      <c r="O73" s="90" t="s">
        <v>825</v>
      </c>
      <c r="P73" s="82"/>
      <c r="Q73" s="3"/>
    </row>
    <row r="74" spans="1:17" ht="16.5">
      <c r="A74" t="s">
        <v>828</v>
      </c>
      <c r="B74" s="7"/>
      <c r="C74" s="7"/>
      <c r="D74" s="7"/>
      <c r="E74" s="61" t="s">
        <v>823</v>
      </c>
      <c r="F74" s="61" t="s">
        <v>823</v>
      </c>
      <c r="G74" s="104"/>
      <c r="H74" s="105"/>
      <c r="I74" s="121" t="s">
        <v>1014</v>
      </c>
      <c r="J74" s="123" t="s">
        <v>1015</v>
      </c>
      <c r="K74" s="140" t="s">
        <v>1016</v>
      </c>
      <c r="L74" s="59" t="s">
        <v>1017</v>
      </c>
      <c r="M74" s="141" t="s">
        <v>1018</v>
      </c>
      <c r="N74" s="82"/>
      <c r="O74" s="90"/>
      <c r="P74" s="82"/>
      <c r="Q74" s="3"/>
    </row>
    <row r="75" spans="1:17" ht="16.5">
      <c r="A75" t="s">
        <v>820</v>
      </c>
      <c r="B75" s="7"/>
      <c r="C75" s="7" t="s">
        <v>825</v>
      </c>
      <c r="D75" s="7"/>
      <c r="E75" s="7"/>
      <c r="F75" s="7"/>
      <c r="G75" s="7"/>
      <c r="H75" s="7"/>
      <c r="I75" s="109" t="s">
        <v>1019</v>
      </c>
      <c r="J75" s="113" t="s">
        <v>1020</v>
      </c>
      <c r="K75" s="114" t="s">
        <v>1021</v>
      </c>
    </row>
    <row r="76" spans="1:17" ht="16.5">
      <c r="B76" s="7"/>
      <c r="C76" s="7" t="s">
        <v>829</v>
      </c>
      <c r="D76" s="7"/>
      <c r="E76" s="7"/>
      <c r="F76" s="7"/>
      <c r="G76" s="7"/>
      <c r="H76" s="7"/>
      <c r="I76" s="109" t="s">
        <v>1022</v>
      </c>
      <c r="J76" s="109" t="s">
        <v>1023</v>
      </c>
      <c r="K76" s="132"/>
    </row>
    <row r="77" spans="1:17" ht="16.5">
      <c r="A77" t="s">
        <v>828</v>
      </c>
      <c r="B77" s="7" t="s">
        <v>821</v>
      </c>
      <c r="C77" s="7"/>
      <c r="D77" s="7"/>
      <c r="E77" s="7" t="s">
        <v>964</v>
      </c>
      <c r="F77" s="7"/>
      <c r="G77" s="7"/>
      <c r="H77" s="7"/>
      <c r="I77" s="109" t="s">
        <v>1024</v>
      </c>
      <c r="J77" s="113"/>
      <c r="K77" s="114"/>
    </row>
    <row r="78" spans="1:17" ht="16.5">
      <c r="A78" t="s">
        <v>820</v>
      </c>
      <c r="B78" s="7"/>
      <c r="C78" s="7"/>
      <c r="D78" s="7"/>
      <c r="E78" s="7"/>
      <c r="F78" s="7"/>
      <c r="G78" s="7"/>
      <c r="H78" s="7"/>
      <c r="I78" s="109" t="s">
        <v>1025</v>
      </c>
      <c r="J78" s="113" t="s">
        <v>1026</v>
      </c>
      <c r="K78" s="114" t="s">
        <v>1027</v>
      </c>
    </row>
    <row r="79" spans="1:17" ht="16.5">
      <c r="A79" t="s">
        <v>820</v>
      </c>
      <c r="B79" s="7"/>
      <c r="C79" s="7"/>
      <c r="D79" s="7"/>
      <c r="E79" s="7"/>
      <c r="F79" s="7"/>
      <c r="G79" s="7"/>
      <c r="H79" s="7"/>
      <c r="I79" s="109" t="s">
        <v>1028</v>
      </c>
      <c r="J79" s="113"/>
      <c r="K79" s="114"/>
    </row>
    <row r="80" spans="1:17" ht="16.5">
      <c r="A80" t="s">
        <v>978</v>
      </c>
      <c r="B80" s="7"/>
      <c r="C80" s="7" t="s">
        <v>825</v>
      </c>
      <c r="D80" s="7"/>
      <c r="E80" s="7" t="s">
        <v>1029</v>
      </c>
      <c r="F80" s="7"/>
      <c r="G80" s="7"/>
      <c r="H80" s="7"/>
      <c r="I80" s="109" t="s">
        <v>1030</v>
      </c>
      <c r="J80" s="5" t="s">
        <v>1031</v>
      </c>
      <c r="K80" s="114" t="s">
        <v>1032</v>
      </c>
    </row>
    <row r="81" spans="1:17" ht="16.5">
      <c r="A81" t="s">
        <v>820</v>
      </c>
      <c r="B81" s="7"/>
      <c r="C81" s="7"/>
      <c r="D81" s="7"/>
      <c r="E81" s="7"/>
      <c r="F81" s="7"/>
      <c r="G81" s="117" t="s">
        <v>559</v>
      </c>
      <c r="H81" s="7"/>
      <c r="I81" s="109" t="s">
        <v>1033</v>
      </c>
      <c r="J81" s="113" t="s">
        <v>1034</v>
      </c>
      <c r="K81" s="114"/>
    </row>
    <row r="82" spans="1:17" ht="16.5">
      <c r="A82" t="s">
        <v>820</v>
      </c>
      <c r="B82" s="7"/>
      <c r="C82" s="7"/>
      <c r="D82" s="7"/>
      <c r="E82" s="7"/>
      <c r="F82" s="7"/>
      <c r="G82" s="7"/>
      <c r="H82" s="7"/>
      <c r="I82" s="109" t="s">
        <v>1035</v>
      </c>
      <c r="J82" s="5" t="s">
        <v>1036</v>
      </c>
      <c r="K82" s="114" t="s">
        <v>1037</v>
      </c>
    </row>
    <row r="83" spans="1:17" ht="16.5">
      <c r="A83" t="s">
        <v>978</v>
      </c>
      <c r="B83" s="7"/>
      <c r="C83" s="7" t="s">
        <v>1038</v>
      </c>
      <c r="D83" s="7"/>
      <c r="E83" s="7" t="s">
        <v>1039</v>
      </c>
      <c r="F83" s="7"/>
      <c r="G83" s="7"/>
      <c r="H83" s="7"/>
      <c r="I83" s="109" t="s">
        <v>1040</v>
      </c>
      <c r="J83" s="13" t="s">
        <v>425</v>
      </c>
      <c r="K83" s="8" t="s">
        <v>1041</v>
      </c>
    </row>
    <row r="84" spans="1:17" ht="16.5">
      <c r="B84" s="7"/>
      <c r="C84" s="7"/>
      <c r="D84" s="7"/>
      <c r="E84" s="7"/>
      <c r="F84" s="7"/>
      <c r="G84" s="7"/>
      <c r="H84" s="7"/>
      <c r="I84" s="109" t="s">
        <v>1042</v>
      </c>
      <c r="J84" s="113" t="s">
        <v>1043</v>
      </c>
      <c r="K84" s="15" t="s">
        <v>1044</v>
      </c>
    </row>
    <row r="85" spans="1:17" ht="16.5">
      <c r="A85" t="s">
        <v>978</v>
      </c>
      <c r="B85" s="7"/>
      <c r="C85" s="7"/>
      <c r="D85" s="7"/>
      <c r="E85" s="7"/>
      <c r="F85" s="7"/>
      <c r="G85" s="7"/>
      <c r="H85" s="7"/>
      <c r="I85" s="109" t="s">
        <v>1045</v>
      </c>
      <c r="J85" s="113"/>
      <c r="K85" s="114"/>
    </row>
    <row r="86" spans="1:17" ht="16.5">
      <c r="A86" t="s">
        <v>820</v>
      </c>
      <c r="B86" s="7"/>
      <c r="C86" s="7"/>
      <c r="D86" s="7"/>
      <c r="E86" s="7"/>
      <c r="F86" s="7"/>
      <c r="G86" s="7"/>
      <c r="H86" s="7"/>
      <c r="I86" s="109" t="s">
        <v>1046</v>
      </c>
      <c r="J86" s="113"/>
      <c r="K86" s="119" t="s">
        <v>1047</v>
      </c>
    </row>
    <row r="87" spans="1:17" ht="16.5">
      <c r="A87" t="s">
        <v>820</v>
      </c>
      <c r="B87" s="7" t="s">
        <v>1006</v>
      </c>
      <c r="C87" s="7"/>
      <c r="D87" s="7"/>
      <c r="E87" s="7"/>
      <c r="F87" s="7"/>
      <c r="G87" s="7"/>
      <c r="H87" s="7"/>
      <c r="I87" s="109" t="s">
        <v>1048</v>
      </c>
      <c r="J87" s="113" t="s">
        <v>1049</v>
      </c>
      <c r="K87" s="114" t="s">
        <v>1050</v>
      </c>
    </row>
    <row r="88" spans="1:17" ht="16.5" customHeight="1">
      <c r="A88" t="s">
        <v>828</v>
      </c>
      <c r="B88" s="7" t="s">
        <v>881</v>
      </c>
      <c r="C88" s="7" t="s">
        <v>1051</v>
      </c>
      <c r="D88" s="7"/>
      <c r="E88" s="61" t="s">
        <v>964</v>
      </c>
      <c r="F88" s="61" t="s">
        <v>823</v>
      </c>
      <c r="G88" s="104" t="s">
        <v>910</v>
      </c>
      <c r="H88" s="105"/>
      <c r="I88" s="124" t="s">
        <v>1052</v>
      </c>
      <c r="J88" s="113" t="s">
        <v>1053</v>
      </c>
      <c r="K88" s="8" t="s">
        <v>1054</v>
      </c>
      <c r="L88" s="59"/>
      <c r="M88" s="51"/>
      <c r="N88" s="82"/>
      <c r="O88" s="90"/>
      <c r="P88" s="82"/>
      <c r="Q88" s="3"/>
    </row>
    <row r="89" spans="1:17" ht="16.5">
      <c r="A89" t="s">
        <v>828</v>
      </c>
      <c r="B89" s="7" t="s">
        <v>892</v>
      </c>
      <c r="C89" s="7" t="s">
        <v>854</v>
      </c>
      <c r="D89" s="7" t="s">
        <v>1055</v>
      </c>
      <c r="E89" s="61" t="s">
        <v>964</v>
      </c>
      <c r="F89" s="61" t="s">
        <v>823</v>
      </c>
      <c r="G89" s="104" t="s">
        <v>910</v>
      </c>
      <c r="H89" s="105" t="e">
        <f>#REF!+1</f>
        <v>#REF!</v>
      </c>
      <c r="I89" s="124" t="s">
        <v>1056</v>
      </c>
      <c r="J89" s="122"/>
      <c r="K89" s="108" t="s">
        <v>1057</v>
      </c>
      <c r="L89" s="59"/>
      <c r="M89" s="51" t="s">
        <v>1058</v>
      </c>
      <c r="N89" s="82"/>
      <c r="O89" s="90" t="s">
        <v>854</v>
      </c>
      <c r="P89" s="82" t="s">
        <v>850</v>
      </c>
      <c r="Q89" s="82" t="s">
        <v>1059</v>
      </c>
    </row>
    <row r="90" spans="1:17" ht="16.5">
      <c r="A90" t="s">
        <v>820</v>
      </c>
      <c r="B90" s="7"/>
      <c r="C90" s="7"/>
      <c r="D90" s="7"/>
      <c r="E90" s="7"/>
      <c r="F90" s="7"/>
      <c r="G90" s="7"/>
      <c r="H90" s="7"/>
      <c r="I90" s="109" t="s">
        <v>1060</v>
      </c>
      <c r="J90" s="118">
        <v>43964</v>
      </c>
      <c r="K90" s="114" t="s">
        <v>1061</v>
      </c>
    </row>
    <row r="91" spans="1:17" ht="16.5">
      <c r="A91" t="s">
        <v>820</v>
      </c>
      <c r="B91" s="7"/>
      <c r="C91" s="7"/>
      <c r="D91" s="7"/>
      <c r="E91" s="7"/>
      <c r="F91" s="7"/>
      <c r="G91" s="7"/>
      <c r="H91" s="7"/>
      <c r="I91" s="109" t="s">
        <v>1062</v>
      </c>
      <c r="J91" s="118">
        <v>43521</v>
      </c>
      <c r="K91" s="114" t="s">
        <v>1061</v>
      </c>
    </row>
    <row r="92" spans="1:17" ht="16.5">
      <c r="A92" t="s">
        <v>1063</v>
      </c>
      <c r="B92" s="7"/>
      <c r="C92" s="7"/>
      <c r="D92" s="7"/>
      <c r="E92" s="7" t="s">
        <v>833</v>
      </c>
      <c r="F92" s="7"/>
      <c r="G92" s="7"/>
      <c r="H92" s="7"/>
      <c r="I92" s="109" t="s">
        <v>1064</v>
      </c>
      <c r="J92" s="113"/>
      <c r="K92" s="114" t="s">
        <v>1065</v>
      </c>
    </row>
    <row r="93" spans="1:17" ht="16.5">
      <c r="A93" t="s">
        <v>820</v>
      </c>
      <c r="B93" s="7"/>
      <c r="C93" s="7" t="s">
        <v>1066</v>
      </c>
      <c r="D93" s="7"/>
      <c r="E93" s="7"/>
      <c r="F93" s="7"/>
      <c r="G93" s="7"/>
      <c r="H93" s="7"/>
      <c r="I93" s="109" t="s">
        <v>1067</v>
      </c>
      <c r="J93" s="113" t="s">
        <v>1068</v>
      </c>
      <c r="K93" s="114"/>
    </row>
    <row r="94" spans="1:17" ht="16.5">
      <c r="A94" t="s">
        <v>820</v>
      </c>
      <c r="B94" s="7"/>
      <c r="C94" s="7"/>
      <c r="D94" s="7"/>
      <c r="E94" s="7"/>
      <c r="F94" s="7"/>
      <c r="G94" s="7"/>
      <c r="H94" s="7"/>
      <c r="I94" s="109" t="s">
        <v>1069</v>
      </c>
      <c r="J94" s="113"/>
      <c r="K94" s="114" t="s">
        <v>1070</v>
      </c>
    </row>
    <row r="95" spans="1:17" ht="16.5">
      <c r="A95" t="s">
        <v>820</v>
      </c>
      <c r="B95" s="7"/>
      <c r="C95" s="7" t="s">
        <v>837</v>
      </c>
      <c r="D95" s="7"/>
      <c r="E95" s="7"/>
      <c r="F95" s="7"/>
      <c r="G95" s="7"/>
      <c r="H95" s="7"/>
      <c r="I95" s="109" t="s">
        <v>1071</v>
      </c>
      <c r="J95" s="5" t="s">
        <v>1072</v>
      </c>
      <c r="K95" s="114" t="s">
        <v>1073</v>
      </c>
    </row>
    <row r="96" spans="1:17" ht="16.5">
      <c r="A96" t="s">
        <v>824</v>
      </c>
      <c r="B96" s="7" t="s">
        <v>821</v>
      </c>
      <c r="C96" s="7"/>
      <c r="D96" s="7"/>
      <c r="E96" s="7" t="s">
        <v>826</v>
      </c>
      <c r="F96" s="7"/>
      <c r="G96" s="7"/>
      <c r="H96" s="7"/>
      <c r="I96" s="109" t="s">
        <v>1074</v>
      </c>
      <c r="J96" s="5" t="s">
        <v>1075</v>
      </c>
      <c r="K96" s="114"/>
    </row>
    <row r="97" spans="1:17" ht="16.5">
      <c r="A97" t="s">
        <v>828</v>
      </c>
      <c r="B97" s="7" t="s">
        <v>881</v>
      </c>
      <c r="C97" s="7" t="s">
        <v>3</v>
      </c>
      <c r="D97" s="7"/>
      <c r="E97" s="62" t="s">
        <v>965</v>
      </c>
      <c r="F97" s="62" t="s">
        <v>965</v>
      </c>
      <c r="G97" s="142" t="s">
        <v>1076</v>
      </c>
      <c r="H97" s="134">
        <v>2</v>
      </c>
      <c r="I97" s="135" t="s">
        <v>1077</v>
      </c>
      <c r="J97" s="143" t="s">
        <v>1078</v>
      </c>
      <c r="K97" s="137" t="s">
        <v>1079</v>
      </c>
      <c r="L97" s="44"/>
      <c r="M97" s="44"/>
      <c r="N97" s="26" t="s">
        <v>970</v>
      </c>
    </row>
    <row r="98" spans="1:17" ht="16.5">
      <c r="A98" t="s">
        <v>1002</v>
      </c>
      <c r="B98" s="7" t="s">
        <v>3</v>
      </c>
      <c r="C98" s="7" t="s">
        <v>1080</v>
      </c>
      <c r="D98" s="7"/>
      <c r="E98" s="7" t="s">
        <v>833</v>
      </c>
      <c r="F98" s="7"/>
      <c r="G98" s="7"/>
      <c r="H98" s="7"/>
      <c r="I98" s="109" t="s">
        <v>1081</v>
      </c>
      <c r="J98" s="113" t="s">
        <v>1082</v>
      </c>
      <c r="K98" s="114" t="s">
        <v>1083</v>
      </c>
    </row>
    <row r="99" spans="1:17" ht="16.5">
      <c r="A99" t="s">
        <v>820</v>
      </c>
      <c r="B99" s="7"/>
      <c r="C99" s="7"/>
      <c r="D99" s="7"/>
      <c r="E99" s="7"/>
      <c r="F99" s="7"/>
      <c r="G99" s="117" t="s">
        <v>559</v>
      </c>
      <c r="H99" s="7"/>
      <c r="I99" s="109" t="s">
        <v>1084</v>
      </c>
      <c r="J99" s="113"/>
      <c r="K99" s="114"/>
    </row>
    <row r="100" spans="1:17" ht="16.5">
      <c r="A100" t="s">
        <v>820</v>
      </c>
      <c r="B100" s="7" t="s">
        <v>821</v>
      </c>
      <c r="C100" s="7"/>
      <c r="D100" s="7"/>
      <c r="E100" s="7" t="s">
        <v>965</v>
      </c>
      <c r="F100" s="7"/>
      <c r="G100" s="7"/>
      <c r="H100" s="7"/>
      <c r="I100" s="109" t="s">
        <v>1085</v>
      </c>
      <c r="J100" s="113"/>
      <c r="K100" s="114"/>
    </row>
    <row r="101" spans="1:17" ht="16.5">
      <c r="A101" t="s">
        <v>820</v>
      </c>
      <c r="B101" s="7"/>
      <c r="C101" s="7"/>
      <c r="D101" s="7"/>
      <c r="E101" s="7"/>
      <c r="F101" s="7"/>
      <c r="G101" s="7"/>
      <c r="H101" s="7"/>
      <c r="I101" s="109" t="s">
        <v>1086</v>
      </c>
      <c r="J101" s="113"/>
      <c r="K101" s="8"/>
    </row>
    <row r="102" spans="1:17" ht="16.5">
      <c r="A102" t="s">
        <v>820</v>
      </c>
      <c r="B102" s="7"/>
      <c r="C102" s="7"/>
      <c r="D102" s="7"/>
      <c r="E102" s="7"/>
      <c r="F102" s="7"/>
      <c r="G102" s="7"/>
      <c r="H102" s="7"/>
      <c r="I102" s="109" t="s">
        <v>1087</v>
      </c>
      <c r="J102" s="113"/>
      <c r="K102" s="114"/>
    </row>
    <row r="103" spans="1:17" ht="16.5">
      <c r="A103" t="s">
        <v>828</v>
      </c>
      <c r="B103" s="7" t="s">
        <v>881</v>
      </c>
      <c r="C103" s="7"/>
      <c r="D103" s="7"/>
      <c r="E103" s="61" t="s">
        <v>823</v>
      </c>
      <c r="F103" s="61" t="s">
        <v>823</v>
      </c>
      <c r="G103" s="104" t="s">
        <v>910</v>
      </c>
      <c r="H103" s="105" t="e">
        <f>#REF!+1</f>
        <v>#REF!</v>
      </c>
      <c r="I103" s="124" t="s">
        <v>1088</v>
      </c>
      <c r="J103" s="144" t="s">
        <v>1089</v>
      </c>
      <c r="K103" s="145" t="s">
        <v>1090</v>
      </c>
      <c r="L103" s="59"/>
      <c r="M103" s="51" t="s">
        <v>1091</v>
      </c>
      <c r="N103" s="82"/>
      <c r="O103" s="90"/>
      <c r="P103" s="82"/>
      <c r="Q103" s="3"/>
    </row>
    <row r="104" spans="1:17" ht="15.75" customHeight="1">
      <c r="A104" t="s">
        <v>820</v>
      </c>
      <c r="B104" s="7"/>
      <c r="C104" s="7"/>
      <c r="D104" s="7"/>
      <c r="E104" s="7"/>
      <c r="F104" s="7"/>
      <c r="G104" s="7"/>
      <c r="H104" s="7"/>
      <c r="I104" s="110" t="s">
        <v>1092</v>
      </c>
      <c r="J104" s="118" t="s">
        <v>3</v>
      </c>
      <c r="K104" s="114" t="s">
        <v>1093</v>
      </c>
    </row>
    <row r="105" spans="1:17" ht="16.5">
      <c r="A105" t="s">
        <v>820</v>
      </c>
      <c r="B105" s="7"/>
      <c r="C105" s="7"/>
      <c r="D105" s="7"/>
      <c r="E105" s="7"/>
      <c r="F105" s="7"/>
      <c r="G105" s="7"/>
      <c r="H105" s="7"/>
      <c r="I105" s="132" t="s">
        <v>1094</v>
      </c>
      <c r="J105" s="146" t="s">
        <v>1095</v>
      </c>
      <c r="K105" s="113" t="s">
        <v>1096</v>
      </c>
    </row>
    <row r="106" spans="1:17" ht="16.5">
      <c r="A106" t="s">
        <v>820</v>
      </c>
      <c r="B106" s="7"/>
      <c r="C106" s="7"/>
      <c r="D106" s="7"/>
      <c r="E106" s="7"/>
      <c r="F106" s="7"/>
      <c r="G106" s="7"/>
      <c r="H106" s="7"/>
      <c r="I106" s="109" t="s">
        <v>1097</v>
      </c>
      <c r="J106" s="113"/>
      <c r="K106" s="114" t="s">
        <v>1098</v>
      </c>
    </row>
    <row r="107" spans="1:17" ht="16.5">
      <c r="B107" s="7"/>
      <c r="C107" s="7"/>
      <c r="D107" s="7"/>
      <c r="E107" s="7"/>
      <c r="F107" s="7"/>
      <c r="G107" s="7"/>
      <c r="H107" s="7"/>
      <c r="I107" s="109" t="s">
        <v>1099</v>
      </c>
      <c r="J107" s="14" t="s">
        <v>1100</v>
      </c>
      <c r="K107" s="147" t="s">
        <v>1101</v>
      </c>
    </row>
    <row r="108" spans="1:17" ht="16.5" customHeight="1">
      <c r="B108" s="7"/>
      <c r="C108" s="7"/>
      <c r="D108" s="7"/>
      <c r="E108" s="7"/>
      <c r="F108" s="7"/>
      <c r="G108" s="7"/>
      <c r="H108" s="7"/>
      <c r="I108" s="109" t="s">
        <v>1102</v>
      </c>
      <c r="J108" s="109" t="s">
        <v>1103</v>
      </c>
      <c r="K108" s="116"/>
    </row>
    <row r="109" spans="1:17" ht="16.5" customHeight="1">
      <c r="A109" t="s">
        <v>828</v>
      </c>
      <c r="B109" s="7"/>
      <c r="C109" s="7"/>
      <c r="D109" s="7"/>
      <c r="E109" s="7" t="s">
        <v>1029</v>
      </c>
      <c r="F109" s="7"/>
      <c r="G109" s="7"/>
      <c r="H109" s="7"/>
      <c r="I109" s="109" t="s">
        <v>1104</v>
      </c>
      <c r="J109" s="109" t="s">
        <v>1105</v>
      </c>
      <c r="K109" s="116" t="s">
        <v>1106</v>
      </c>
    </row>
    <row r="110" spans="1:17" ht="16.5" customHeight="1">
      <c r="A110" t="s">
        <v>1002</v>
      </c>
      <c r="B110" s="7"/>
      <c r="C110" s="7"/>
      <c r="D110" s="7"/>
      <c r="E110" s="7" t="s">
        <v>1107</v>
      </c>
      <c r="F110" s="7"/>
      <c r="G110" s="7"/>
      <c r="H110" s="7"/>
      <c r="I110" s="109" t="s">
        <v>1108</v>
      </c>
      <c r="J110" s="13" t="s">
        <v>1109</v>
      </c>
      <c r="K110" s="8"/>
    </row>
    <row r="111" spans="1:17" ht="16.5">
      <c r="A111" t="s">
        <v>1110</v>
      </c>
      <c r="B111" s="7" t="s">
        <v>881</v>
      </c>
      <c r="C111" s="7" t="s">
        <v>1111</v>
      </c>
      <c r="D111" s="7"/>
      <c r="E111" s="7" t="s">
        <v>1029</v>
      </c>
      <c r="F111" s="7"/>
      <c r="G111" s="7"/>
      <c r="H111" s="7"/>
      <c r="I111" s="109" t="s">
        <v>1112</v>
      </c>
      <c r="J111" s="5" t="s">
        <v>1113</v>
      </c>
      <c r="K111" s="147" t="s">
        <v>1114</v>
      </c>
    </row>
    <row r="112" spans="1:17" ht="16.5">
      <c r="B112" s="7"/>
      <c r="C112" s="7"/>
      <c r="D112" s="7"/>
      <c r="E112" s="7"/>
      <c r="F112" s="7"/>
      <c r="G112" s="7"/>
      <c r="H112" s="7"/>
      <c r="I112" s="109" t="s">
        <v>1115</v>
      </c>
      <c r="J112" s="113"/>
      <c r="K112" s="114" t="s">
        <v>1116</v>
      </c>
    </row>
    <row r="113" spans="1:17" ht="16.5">
      <c r="B113" s="7"/>
      <c r="C113" s="7" t="s">
        <v>1117</v>
      </c>
      <c r="D113" s="7"/>
      <c r="E113" s="7"/>
      <c r="F113" s="7"/>
      <c r="G113" s="7"/>
      <c r="H113" s="7"/>
      <c r="I113" s="109" t="s">
        <v>1118</v>
      </c>
      <c r="J113" s="113"/>
      <c r="K113" s="114" t="s">
        <v>1119</v>
      </c>
    </row>
    <row r="114" spans="1:17" ht="16.5">
      <c r="A114" t="s">
        <v>1002</v>
      </c>
      <c r="B114" s="7"/>
      <c r="C114" s="7"/>
      <c r="D114" s="7"/>
      <c r="E114" s="7" t="s">
        <v>1120</v>
      </c>
      <c r="F114" s="7"/>
      <c r="G114" s="7"/>
      <c r="H114" s="7"/>
      <c r="I114" s="109" t="s">
        <v>1121</v>
      </c>
      <c r="J114" s="131" t="s">
        <v>1122</v>
      </c>
      <c r="K114" s="148" t="s">
        <v>1123</v>
      </c>
    </row>
    <row r="115" spans="1:17" ht="16.5">
      <c r="B115" s="7"/>
      <c r="C115" s="7"/>
      <c r="D115" s="7"/>
      <c r="E115" s="7"/>
      <c r="F115" s="7"/>
      <c r="G115" s="7"/>
      <c r="H115" s="7"/>
      <c r="I115" s="109" t="s">
        <v>1124</v>
      </c>
      <c r="J115" s="5" t="s">
        <v>1125</v>
      </c>
      <c r="K115" s="114" t="s">
        <v>1126</v>
      </c>
    </row>
    <row r="116" spans="1:17" ht="16.5">
      <c r="B116" s="7"/>
      <c r="C116" s="7" t="s">
        <v>854</v>
      </c>
      <c r="D116" s="7"/>
      <c r="E116" s="7"/>
      <c r="F116" s="7"/>
      <c r="G116" s="7"/>
      <c r="H116" s="7"/>
      <c r="I116" s="109" t="s">
        <v>1127</v>
      </c>
      <c r="J116" s="113" t="s">
        <v>1068</v>
      </c>
      <c r="K116" s="114"/>
    </row>
    <row r="117" spans="1:17" ht="16.5">
      <c r="A117" t="s">
        <v>828</v>
      </c>
      <c r="B117" s="7" t="s">
        <v>821</v>
      </c>
      <c r="C117" s="7" t="s">
        <v>825</v>
      </c>
      <c r="D117" s="7"/>
      <c r="E117" s="7" t="s">
        <v>826</v>
      </c>
      <c r="F117" s="7"/>
      <c r="G117" s="7"/>
      <c r="H117" s="7"/>
      <c r="I117" s="109" t="s">
        <v>1128</v>
      </c>
      <c r="J117" s="113" t="s">
        <v>1129</v>
      </c>
      <c r="K117" s="8" t="s">
        <v>1130</v>
      </c>
    </row>
    <row r="118" spans="1:17" ht="16.5">
      <c r="B118" s="7"/>
      <c r="C118" s="7"/>
      <c r="D118" s="7"/>
      <c r="E118" s="7"/>
      <c r="F118" s="7"/>
      <c r="G118" s="7"/>
      <c r="H118" s="7"/>
      <c r="I118" s="109" t="s">
        <v>1131</v>
      </c>
      <c r="J118" s="113"/>
      <c r="K118" s="114" t="s">
        <v>1132</v>
      </c>
    </row>
    <row r="119" spans="1:17" ht="16.5">
      <c r="A119" t="s">
        <v>1063</v>
      </c>
      <c r="B119" s="7" t="s">
        <v>892</v>
      </c>
      <c r="C119" s="7"/>
      <c r="D119" s="7"/>
      <c r="E119" s="7" t="s">
        <v>833</v>
      </c>
      <c r="F119" s="7"/>
      <c r="G119" s="7"/>
      <c r="H119" s="7"/>
      <c r="I119" s="113" t="s">
        <v>1133</v>
      </c>
      <c r="J119" s="113"/>
      <c r="K119" s="114"/>
    </row>
    <row r="120" spans="1:17" ht="16.5">
      <c r="B120" s="7"/>
      <c r="C120" s="7"/>
      <c r="D120" s="7"/>
      <c r="E120" s="7"/>
      <c r="F120" s="7"/>
      <c r="G120" s="117" t="s">
        <v>559</v>
      </c>
      <c r="H120" s="7"/>
      <c r="I120" s="109" t="s">
        <v>1134</v>
      </c>
      <c r="J120" s="113" t="s">
        <v>1135</v>
      </c>
      <c r="K120" s="114"/>
    </row>
    <row r="121" spans="1:17" ht="16.5">
      <c r="A121" t="s">
        <v>1136</v>
      </c>
      <c r="B121" s="7" t="s">
        <v>892</v>
      </c>
      <c r="C121" s="7" t="s">
        <v>822</v>
      </c>
      <c r="D121" s="7"/>
      <c r="E121" s="7" t="s">
        <v>833</v>
      </c>
      <c r="F121" s="7"/>
      <c r="G121" s="7"/>
      <c r="H121" s="7"/>
      <c r="I121" s="113" t="s">
        <v>1137</v>
      </c>
      <c r="J121" s="113"/>
      <c r="K121" s="114"/>
    </row>
    <row r="122" spans="1:17" ht="16.5">
      <c r="B122" s="7"/>
      <c r="C122" s="7"/>
      <c r="D122" s="7"/>
      <c r="E122" s="7"/>
      <c r="F122" s="7"/>
      <c r="G122" s="117" t="s">
        <v>559</v>
      </c>
      <c r="H122" s="7"/>
      <c r="I122" s="109" t="s">
        <v>1138</v>
      </c>
      <c r="J122" s="113" t="s">
        <v>1139</v>
      </c>
      <c r="K122" s="114" t="s">
        <v>1140</v>
      </c>
    </row>
    <row r="123" spans="1:17" ht="16.5">
      <c r="B123" s="7"/>
      <c r="C123" s="7"/>
      <c r="D123" s="7"/>
      <c r="E123" s="7" t="s">
        <v>1107</v>
      </c>
      <c r="F123" s="7"/>
      <c r="G123" s="7"/>
      <c r="H123" s="7"/>
      <c r="I123" s="109" t="s">
        <v>1141</v>
      </c>
      <c r="J123" s="5" t="s">
        <v>1142</v>
      </c>
      <c r="K123" s="15" t="s">
        <v>1143</v>
      </c>
    </row>
    <row r="124" spans="1:17" ht="16.5">
      <c r="B124" s="7"/>
      <c r="C124" s="7"/>
      <c r="D124" s="7"/>
      <c r="E124" s="39" t="s">
        <v>1144</v>
      </c>
      <c r="F124" s="39"/>
      <c r="G124" s="39"/>
      <c r="H124" s="39"/>
      <c r="I124" s="109" t="s">
        <v>1145</v>
      </c>
      <c r="J124" s="5" t="s">
        <v>1142</v>
      </c>
      <c r="K124" s="114" t="s">
        <v>1146</v>
      </c>
    </row>
    <row r="125" spans="1:17" ht="16.5">
      <c r="A125" t="s">
        <v>828</v>
      </c>
      <c r="B125" s="7" t="s">
        <v>821</v>
      </c>
      <c r="C125" s="7" t="s">
        <v>837</v>
      </c>
      <c r="D125" s="7"/>
      <c r="E125" s="7" t="s">
        <v>826</v>
      </c>
      <c r="F125" s="7"/>
      <c r="G125" s="7"/>
      <c r="H125" s="7"/>
      <c r="I125" s="110" t="s">
        <v>1147</v>
      </c>
      <c r="J125" s="113" t="s">
        <v>1148</v>
      </c>
      <c r="K125" s="114" t="s">
        <v>1149</v>
      </c>
    </row>
    <row r="126" spans="1:17" ht="16.5">
      <c r="B126" s="7"/>
      <c r="C126" s="7"/>
      <c r="D126" s="7"/>
      <c r="E126" s="7"/>
      <c r="F126" s="7"/>
      <c r="G126" s="7"/>
      <c r="H126" s="7"/>
      <c r="I126" s="109" t="s">
        <v>1150</v>
      </c>
      <c r="J126" s="113"/>
      <c r="K126" s="114"/>
    </row>
    <row r="127" spans="1:17" ht="16.5">
      <c r="A127" t="s">
        <v>828</v>
      </c>
      <c r="B127" s="7"/>
      <c r="C127" s="7"/>
      <c r="D127" s="7"/>
      <c r="E127" s="61" t="s">
        <v>823</v>
      </c>
      <c r="F127" s="61" t="s">
        <v>823</v>
      </c>
      <c r="G127" s="104"/>
      <c r="H127" s="105" t="e">
        <f>#REF!+1</f>
        <v>#REF!</v>
      </c>
      <c r="I127" s="124" t="s">
        <v>1151</v>
      </c>
      <c r="J127" s="122" t="s">
        <v>1152</v>
      </c>
      <c r="K127" s="108" t="s">
        <v>1153</v>
      </c>
      <c r="L127" s="59"/>
      <c r="M127" s="51" t="s">
        <v>1154</v>
      </c>
      <c r="N127" s="82"/>
      <c r="O127" s="90"/>
      <c r="P127" s="82"/>
      <c r="Q127" s="3"/>
    </row>
    <row r="128" spans="1:17" ht="16.5">
      <c r="B128" s="7"/>
      <c r="C128" s="7"/>
      <c r="D128" s="7"/>
      <c r="E128" s="7"/>
      <c r="F128" s="7"/>
      <c r="G128" s="7"/>
      <c r="H128" s="7"/>
      <c r="I128" s="109" t="s">
        <v>1155</v>
      </c>
      <c r="J128" s="113"/>
      <c r="K128" s="114" t="s">
        <v>1156</v>
      </c>
    </row>
    <row r="129" spans="1:17" ht="16.5">
      <c r="B129" s="7"/>
      <c r="C129" s="7"/>
      <c r="D129" s="7"/>
      <c r="E129" s="7"/>
      <c r="F129" s="7"/>
      <c r="G129" s="7"/>
      <c r="H129" s="7"/>
      <c r="I129" s="109" t="s">
        <v>1157</v>
      </c>
      <c r="J129" s="113"/>
      <c r="K129" s="114" t="s">
        <v>1158</v>
      </c>
    </row>
    <row r="130" spans="1:17" ht="16.5">
      <c r="A130" t="s">
        <v>828</v>
      </c>
      <c r="B130" s="7"/>
      <c r="C130" s="120" t="s">
        <v>825</v>
      </c>
      <c r="D130" s="7" t="s">
        <v>1159</v>
      </c>
      <c r="E130" s="61" t="s">
        <v>823</v>
      </c>
      <c r="F130" s="61" t="s">
        <v>823</v>
      </c>
      <c r="G130" s="104"/>
      <c r="H130" s="105" t="e">
        <f>#REF!+1</f>
        <v>#REF!</v>
      </c>
      <c r="I130" s="106" t="s">
        <v>1160</v>
      </c>
      <c r="J130" s="106"/>
      <c r="K130" s="149" t="s">
        <v>1161</v>
      </c>
      <c r="L130" s="51"/>
      <c r="M130" s="51" t="s">
        <v>1162</v>
      </c>
      <c r="N130" s="82"/>
      <c r="O130" s="82" t="s">
        <v>825</v>
      </c>
      <c r="P130" s="82"/>
      <c r="Q130" s="3"/>
    </row>
    <row r="131" spans="1:17" ht="16.5">
      <c r="B131" s="7"/>
      <c r="C131" s="120" t="s">
        <v>825</v>
      </c>
      <c r="D131" s="120"/>
      <c r="E131" s="7"/>
      <c r="F131" s="7"/>
      <c r="G131" s="7"/>
      <c r="H131" s="7"/>
      <c r="I131" s="109" t="s">
        <v>1163</v>
      </c>
      <c r="J131" s="109"/>
      <c r="K131" s="132" t="s">
        <v>1164</v>
      </c>
    </row>
    <row r="132" spans="1:17" ht="16.5">
      <c r="A132" t="s">
        <v>828</v>
      </c>
      <c r="B132" s="7"/>
      <c r="C132" s="7"/>
      <c r="D132" s="7"/>
      <c r="E132" s="61" t="s">
        <v>823</v>
      </c>
      <c r="F132" s="61" t="s">
        <v>823</v>
      </c>
      <c r="G132" s="104"/>
      <c r="H132" s="105" t="e">
        <f>#REF!+1</f>
        <v>#REF!</v>
      </c>
      <c r="I132" s="106" t="s">
        <v>1163</v>
      </c>
      <c r="J132" s="106"/>
      <c r="K132" s="149" t="s">
        <v>1164</v>
      </c>
      <c r="L132" s="51"/>
      <c r="M132" s="51" t="s">
        <v>1165</v>
      </c>
      <c r="N132" s="82"/>
      <c r="O132" s="82" t="s">
        <v>825</v>
      </c>
      <c r="P132" s="82"/>
      <c r="Q132" s="3"/>
    </row>
    <row r="133" spans="1:17" ht="16.5">
      <c r="A133" t="s">
        <v>828</v>
      </c>
      <c r="B133" s="7"/>
      <c r="C133" s="7"/>
      <c r="D133" s="7"/>
      <c r="E133" s="7" t="s">
        <v>1166</v>
      </c>
      <c r="F133" s="7"/>
      <c r="G133" s="7"/>
      <c r="H133" s="7"/>
      <c r="I133" s="109" t="s">
        <v>1167</v>
      </c>
      <c r="J133" s="113"/>
      <c r="K133" s="114" t="s">
        <v>1168</v>
      </c>
    </row>
    <row r="134" spans="1:17" ht="16.5">
      <c r="B134" s="7"/>
      <c r="C134" s="7"/>
      <c r="D134" s="7"/>
      <c r="E134" s="7" t="s">
        <v>1169</v>
      </c>
      <c r="F134" s="7"/>
      <c r="G134" s="7"/>
      <c r="H134" s="7"/>
      <c r="I134" s="109" t="s">
        <v>1170</v>
      </c>
      <c r="J134" s="113"/>
      <c r="K134" s="114" t="s">
        <v>1171</v>
      </c>
    </row>
    <row r="135" spans="1:17" ht="16.5">
      <c r="A135" t="s">
        <v>1172</v>
      </c>
      <c r="B135" s="7"/>
      <c r="C135" s="7"/>
      <c r="D135" s="7"/>
      <c r="E135" s="7" t="s">
        <v>1173</v>
      </c>
      <c r="F135" s="7"/>
      <c r="G135" s="7"/>
      <c r="H135" s="7"/>
      <c r="I135" s="109" t="s">
        <v>1174</v>
      </c>
      <c r="J135" s="109"/>
      <c r="K135" s="114"/>
    </row>
    <row r="136" spans="1:17" ht="16.5">
      <c r="A136" t="s">
        <v>824</v>
      </c>
      <c r="B136" s="7" t="s">
        <v>850</v>
      </c>
      <c r="C136" s="7" t="s">
        <v>837</v>
      </c>
      <c r="D136" s="7"/>
      <c r="E136" s="7" t="s">
        <v>964</v>
      </c>
      <c r="F136" s="7"/>
      <c r="G136" s="7"/>
      <c r="H136" s="7"/>
      <c r="I136" s="109" t="s">
        <v>1175</v>
      </c>
      <c r="J136" s="113"/>
      <c r="K136" s="114"/>
    </row>
    <row r="137" spans="1:17" ht="16.5">
      <c r="B137" s="7"/>
      <c r="C137" s="7"/>
      <c r="D137" s="7"/>
      <c r="E137" s="7"/>
      <c r="F137" s="7"/>
      <c r="G137" s="7"/>
      <c r="H137" s="7"/>
      <c r="I137" s="109" t="s">
        <v>1176</v>
      </c>
      <c r="J137" s="118">
        <v>44557</v>
      </c>
      <c r="K137" s="114" t="s">
        <v>499</v>
      </c>
    </row>
    <row r="138" spans="1:17" ht="16.5">
      <c r="B138" s="7"/>
      <c r="C138" s="7"/>
      <c r="D138" s="7"/>
      <c r="E138" s="7"/>
      <c r="F138" s="7"/>
      <c r="G138" s="117" t="s">
        <v>559</v>
      </c>
      <c r="H138" s="7"/>
      <c r="I138" s="109" t="s">
        <v>1177</v>
      </c>
      <c r="J138" s="113"/>
      <c r="K138" s="114"/>
    </row>
    <row r="139" spans="1:17" ht="16.5">
      <c r="A139" t="s">
        <v>3</v>
      </c>
      <c r="B139" s="7"/>
      <c r="C139" s="7"/>
      <c r="D139" s="7"/>
      <c r="E139" s="39"/>
      <c r="F139" s="39"/>
      <c r="G139" s="39"/>
      <c r="H139" s="39"/>
      <c r="I139" s="109" t="s">
        <v>1178</v>
      </c>
      <c r="J139" s="113"/>
      <c r="K139" s="114" t="s">
        <v>1179</v>
      </c>
    </row>
    <row r="140" spans="1:17" ht="16.5">
      <c r="A140" t="s">
        <v>828</v>
      </c>
      <c r="B140" s="7" t="s">
        <v>3</v>
      </c>
      <c r="C140" s="7" t="s">
        <v>3</v>
      </c>
      <c r="D140" s="7"/>
      <c r="E140" s="62" t="s">
        <v>965</v>
      </c>
      <c r="F140" s="62" t="s">
        <v>965</v>
      </c>
      <c r="G140" s="133">
        <v>45040</v>
      </c>
      <c r="H140" s="134">
        <v>3</v>
      </c>
      <c r="I140" s="135" t="s">
        <v>1180</v>
      </c>
      <c r="J140" s="150" t="s">
        <v>1181</v>
      </c>
      <c r="K140" s="137" t="s">
        <v>1182</v>
      </c>
      <c r="L140" s="44" t="s">
        <v>1183</v>
      </c>
      <c r="M140" s="44"/>
    </row>
    <row r="141" spans="1:17" ht="16.5">
      <c r="B141" s="7"/>
      <c r="C141" s="7"/>
      <c r="D141" s="7"/>
      <c r="E141" s="7"/>
      <c r="F141" s="7"/>
      <c r="G141" s="7"/>
      <c r="H141" s="7"/>
      <c r="I141" s="110" t="s">
        <v>1184</v>
      </c>
      <c r="J141" s="5" t="s">
        <v>1185</v>
      </c>
      <c r="K141" s="119" t="s">
        <v>1186</v>
      </c>
    </row>
    <row r="142" spans="1:17" ht="16.5">
      <c r="B142" s="7"/>
      <c r="C142" s="7"/>
      <c r="D142" s="7"/>
      <c r="E142" s="7"/>
      <c r="F142" s="7"/>
      <c r="G142" s="7"/>
      <c r="H142" s="7"/>
      <c r="I142" s="109" t="s">
        <v>1187</v>
      </c>
      <c r="J142" s="113"/>
      <c r="K142" s="114" t="s">
        <v>1188</v>
      </c>
    </row>
    <row r="143" spans="1:17" ht="16.5">
      <c r="A143" t="s">
        <v>828</v>
      </c>
      <c r="B143" s="7" t="s">
        <v>850</v>
      </c>
      <c r="C143" s="7" t="s">
        <v>822</v>
      </c>
      <c r="D143" s="7"/>
      <c r="E143" s="61" t="s">
        <v>823</v>
      </c>
      <c r="F143" s="61" t="s">
        <v>823</v>
      </c>
      <c r="G143" s="104"/>
      <c r="H143" s="105" t="e">
        <f>#REF!+1</f>
        <v>#REF!</v>
      </c>
      <c r="I143" s="106" t="s">
        <v>1189</v>
      </c>
      <c r="J143" s="139" t="s">
        <v>1190</v>
      </c>
      <c r="K143" s="108" t="s">
        <v>1191</v>
      </c>
      <c r="L143" s="59"/>
      <c r="M143" s="51"/>
      <c r="N143" s="82"/>
      <c r="O143" s="90" t="s">
        <v>854</v>
      </c>
      <c r="P143" s="82"/>
      <c r="Q143" s="3"/>
    </row>
    <row r="144" spans="1:17" ht="16.5">
      <c r="A144" t="s">
        <v>824</v>
      </c>
      <c r="B144" s="7"/>
      <c r="C144" s="7" t="s">
        <v>1192</v>
      </c>
      <c r="D144" s="7"/>
      <c r="E144" s="7" t="s">
        <v>818</v>
      </c>
      <c r="F144" s="7"/>
      <c r="G144" s="7"/>
      <c r="H144" s="7"/>
      <c r="I144" s="109" t="s">
        <v>1193</v>
      </c>
      <c r="J144" s="5" t="s">
        <v>1194</v>
      </c>
      <c r="K144" s="114" t="s">
        <v>1195</v>
      </c>
    </row>
    <row r="145" spans="1:11" ht="16.5">
      <c r="A145" t="s">
        <v>1063</v>
      </c>
      <c r="B145" s="7" t="s">
        <v>1196</v>
      </c>
      <c r="C145" s="7"/>
      <c r="D145" s="7"/>
      <c r="E145" s="7" t="s">
        <v>964</v>
      </c>
      <c r="F145" s="7"/>
      <c r="G145" s="7"/>
      <c r="H145" s="7"/>
      <c r="I145" s="109" t="s">
        <v>1197</v>
      </c>
      <c r="J145" s="113" t="s">
        <v>1198</v>
      </c>
      <c r="K145" s="114" t="s">
        <v>1199</v>
      </c>
    </row>
    <row r="146" spans="1:11" ht="16.5" customHeight="1">
      <c r="A146" t="s">
        <v>828</v>
      </c>
      <c r="B146" s="7" t="s">
        <v>821</v>
      </c>
      <c r="C146" s="7" t="s">
        <v>822</v>
      </c>
      <c r="D146" s="7"/>
      <c r="E146" s="7" t="s">
        <v>826</v>
      </c>
      <c r="F146" s="7"/>
      <c r="G146" s="7"/>
      <c r="H146" s="7"/>
      <c r="I146" s="109" t="s">
        <v>1200</v>
      </c>
      <c r="J146" s="113" t="s">
        <v>1201</v>
      </c>
      <c r="K146" s="114" t="s">
        <v>1202</v>
      </c>
    </row>
    <row r="147" spans="1:11" ht="16.5" customHeight="1">
      <c r="A147" t="s">
        <v>828</v>
      </c>
      <c r="B147" s="7" t="s">
        <v>821</v>
      </c>
      <c r="C147" s="7" t="s">
        <v>825</v>
      </c>
      <c r="D147" s="7"/>
      <c r="E147" s="7" t="s">
        <v>1203</v>
      </c>
      <c r="F147" s="7"/>
      <c r="G147" s="7"/>
      <c r="H147" s="7"/>
      <c r="I147" s="110" t="s">
        <v>1204</v>
      </c>
      <c r="J147" s="111" t="s">
        <v>1205</v>
      </c>
      <c r="K147" s="119" t="s">
        <v>1206</v>
      </c>
    </row>
    <row r="148" spans="1:11" ht="16.5">
      <c r="B148" s="7"/>
      <c r="C148" s="7"/>
      <c r="D148" s="7"/>
      <c r="E148" s="7"/>
      <c r="F148" s="7"/>
      <c r="G148" s="7"/>
      <c r="H148" s="7"/>
      <c r="I148" s="109" t="s">
        <v>1207</v>
      </c>
      <c r="J148" s="10" t="s">
        <v>1208</v>
      </c>
      <c r="K148" s="132" t="s">
        <v>1209</v>
      </c>
    </row>
    <row r="149" spans="1:11" ht="16.5">
      <c r="B149" s="7"/>
      <c r="C149" s="7"/>
      <c r="D149" s="7"/>
      <c r="E149" s="7"/>
      <c r="F149" s="7"/>
      <c r="G149" s="117" t="s">
        <v>559</v>
      </c>
      <c r="H149" s="7"/>
      <c r="I149" s="109" t="s">
        <v>1210</v>
      </c>
      <c r="J149" s="113"/>
      <c r="K149" s="114"/>
    </row>
    <row r="150" spans="1:11" ht="16.5">
      <c r="B150" s="7"/>
      <c r="C150" s="7"/>
      <c r="D150" s="7"/>
      <c r="E150" s="7"/>
      <c r="F150" s="7"/>
      <c r="G150" s="7"/>
      <c r="H150" s="7"/>
      <c r="I150" s="109" t="s">
        <v>1211</v>
      </c>
      <c r="J150" s="14" t="s">
        <v>1212</v>
      </c>
      <c r="K150" s="147"/>
    </row>
    <row r="151" spans="1:11" ht="16.5">
      <c r="B151" s="7"/>
      <c r="C151" s="7" t="s">
        <v>1051</v>
      </c>
      <c r="D151" s="7"/>
      <c r="E151" s="7"/>
      <c r="F151" s="7"/>
      <c r="G151" s="7"/>
      <c r="H151" s="7"/>
      <c r="I151" s="109" t="s">
        <v>1213</v>
      </c>
      <c r="J151" s="113" t="s">
        <v>1068</v>
      </c>
      <c r="K151" s="114"/>
    </row>
    <row r="152" spans="1:11" ht="16.5">
      <c r="B152" s="7"/>
      <c r="C152" s="7"/>
      <c r="D152" s="7"/>
      <c r="E152" s="7"/>
      <c r="F152" s="7"/>
      <c r="G152" s="7"/>
      <c r="H152" s="7"/>
      <c r="I152" s="109" t="s">
        <v>1214</v>
      </c>
      <c r="J152" s="113"/>
      <c r="K152" s="8" t="s">
        <v>1215</v>
      </c>
    </row>
    <row r="153" spans="1:11" ht="16.5">
      <c r="B153" s="7"/>
      <c r="C153" s="7"/>
      <c r="D153" s="7"/>
      <c r="E153" s="7"/>
      <c r="F153" s="7"/>
      <c r="G153" s="7"/>
      <c r="H153" s="7"/>
      <c r="I153" s="109" t="s">
        <v>1216</v>
      </c>
      <c r="J153" s="113" t="s">
        <v>1217</v>
      </c>
      <c r="K153" s="114" t="s">
        <v>1218</v>
      </c>
    </row>
    <row r="154" spans="1:11" ht="16.5" customHeight="1">
      <c r="B154" s="7"/>
      <c r="C154" s="7"/>
      <c r="D154" s="7"/>
      <c r="E154" s="7"/>
      <c r="F154" s="7"/>
      <c r="G154" s="7"/>
      <c r="H154" s="7"/>
      <c r="I154" s="152" t="s">
        <v>1219</v>
      </c>
      <c r="J154" s="109" t="s">
        <v>1220</v>
      </c>
      <c r="K154" s="116"/>
    </row>
    <row r="155" spans="1:11" ht="16.5" customHeight="1">
      <c r="B155" s="7"/>
      <c r="C155" s="7"/>
      <c r="D155" s="7"/>
      <c r="E155" s="7" t="s">
        <v>882</v>
      </c>
      <c r="F155" s="7"/>
      <c r="G155" s="7"/>
      <c r="H155" s="7"/>
      <c r="I155" s="109" t="s">
        <v>1221</v>
      </c>
      <c r="J155" s="113" t="s">
        <v>1222</v>
      </c>
      <c r="K155" s="114" t="s">
        <v>1223</v>
      </c>
    </row>
    <row r="156" spans="1:11" ht="16.5">
      <c r="B156" s="7"/>
      <c r="C156" s="7"/>
      <c r="D156" s="7"/>
      <c r="E156" s="7"/>
      <c r="F156" s="7"/>
      <c r="G156" s="7"/>
      <c r="H156" s="7"/>
      <c r="I156" s="109" t="s">
        <v>1224</v>
      </c>
      <c r="J156" s="113"/>
      <c r="K156" s="114" t="s">
        <v>1225</v>
      </c>
    </row>
    <row r="157" spans="1:11" ht="16.5">
      <c r="A157" t="s">
        <v>828</v>
      </c>
      <c r="B157" s="7" t="s">
        <v>821</v>
      </c>
      <c r="C157" s="7"/>
      <c r="D157" s="7"/>
      <c r="E157" s="7" t="s">
        <v>826</v>
      </c>
      <c r="F157" s="7"/>
      <c r="G157" s="7"/>
      <c r="H157" s="7"/>
      <c r="I157" s="110" t="s">
        <v>1226</v>
      </c>
      <c r="J157" s="111"/>
      <c r="K157" s="9" t="s">
        <v>1227</v>
      </c>
    </row>
    <row r="158" spans="1:11" ht="16.5">
      <c r="B158" s="7"/>
      <c r="C158" s="7"/>
      <c r="D158" s="7"/>
      <c r="E158" s="7"/>
      <c r="F158" s="7"/>
      <c r="G158" s="7"/>
      <c r="H158" s="7"/>
      <c r="I158" s="109" t="s">
        <v>1228</v>
      </c>
      <c r="J158" s="113"/>
      <c r="K158" s="114" t="s">
        <v>1229</v>
      </c>
    </row>
    <row r="159" spans="1:11" ht="16.5" customHeight="1">
      <c r="B159" s="7"/>
      <c r="C159" s="7"/>
      <c r="D159" s="7"/>
      <c r="E159" s="7"/>
      <c r="F159" s="7"/>
      <c r="G159" s="7"/>
      <c r="H159" s="7"/>
      <c r="I159" s="109" t="s">
        <v>1230</v>
      </c>
      <c r="J159" s="153">
        <v>44872</v>
      </c>
      <c r="K159" s="114" t="s">
        <v>499</v>
      </c>
    </row>
    <row r="160" spans="1:11" ht="16.5" customHeight="1">
      <c r="B160" s="7"/>
      <c r="C160" s="7"/>
      <c r="D160" s="7"/>
      <c r="E160" s="7"/>
      <c r="F160" s="7"/>
      <c r="G160" s="7"/>
      <c r="H160" s="7"/>
      <c r="I160" s="109" t="s">
        <v>1231</v>
      </c>
      <c r="J160" s="113"/>
      <c r="K160" s="114" t="s">
        <v>1232</v>
      </c>
    </row>
    <row r="161" spans="1:17" ht="16.5">
      <c r="A161" t="s">
        <v>828</v>
      </c>
      <c r="B161" s="7"/>
      <c r="C161" s="7" t="s">
        <v>1233</v>
      </c>
      <c r="D161" s="7"/>
      <c r="E161" s="61" t="s">
        <v>823</v>
      </c>
      <c r="F161" s="61" t="s">
        <v>823</v>
      </c>
      <c r="G161" s="104"/>
      <c r="H161" s="105" t="e">
        <f>#REF!+1</f>
        <v>#REF!</v>
      </c>
      <c r="I161" s="124" t="s">
        <v>1234</v>
      </c>
      <c r="J161" s="122"/>
      <c r="K161" s="108"/>
      <c r="L161" s="59"/>
      <c r="M161" s="51"/>
      <c r="N161" s="82"/>
      <c r="O161" s="90" t="s">
        <v>1233</v>
      </c>
      <c r="P161" s="82"/>
      <c r="Q161" s="3"/>
    </row>
    <row r="162" spans="1:17" ht="16.5">
      <c r="A162" t="s">
        <v>828</v>
      </c>
      <c r="B162" s="7" t="s">
        <v>3</v>
      </c>
      <c r="C162" s="7" t="s">
        <v>3</v>
      </c>
      <c r="D162" s="7"/>
      <c r="E162" s="62" t="s">
        <v>965</v>
      </c>
      <c r="F162" s="62" t="s">
        <v>965</v>
      </c>
      <c r="G162" s="154"/>
      <c r="H162" s="154" t="s">
        <v>1235</v>
      </c>
      <c r="I162" s="135" t="s">
        <v>1236</v>
      </c>
      <c r="J162" s="143" t="s">
        <v>1237</v>
      </c>
      <c r="K162" s="137" t="s">
        <v>1238</v>
      </c>
      <c r="L162" s="44" t="s">
        <v>1239</v>
      </c>
      <c r="M162" s="44" t="s">
        <v>1240</v>
      </c>
      <c r="O162" t="s">
        <v>1241</v>
      </c>
    </row>
    <row r="163" spans="1:17" ht="16.5">
      <c r="A163" t="s">
        <v>828</v>
      </c>
      <c r="B163" s="7" t="s">
        <v>1006</v>
      </c>
      <c r="C163" s="7"/>
      <c r="D163" s="7"/>
      <c r="E163" s="7" t="s">
        <v>964</v>
      </c>
      <c r="F163" s="7"/>
      <c r="G163" s="7"/>
      <c r="H163" s="7"/>
      <c r="I163" s="109" t="s">
        <v>1242</v>
      </c>
      <c r="J163" s="113" t="s">
        <v>1243</v>
      </c>
      <c r="K163" s="114" t="s">
        <v>1244</v>
      </c>
    </row>
    <row r="164" spans="1:17" ht="16.5">
      <c r="B164" s="7"/>
      <c r="C164" s="7"/>
      <c r="D164" s="7" t="s">
        <v>1245</v>
      </c>
      <c r="E164" s="112"/>
      <c r="F164" s="112"/>
      <c r="G164" s="112"/>
      <c r="H164" s="112"/>
      <c r="I164" s="109" t="s">
        <v>1246</v>
      </c>
      <c r="J164" s="113"/>
      <c r="K164" s="114" t="s">
        <v>1247</v>
      </c>
    </row>
    <row r="165" spans="1:17" ht="16.5" customHeight="1">
      <c r="A165" t="s">
        <v>1248</v>
      </c>
      <c r="B165" s="7"/>
      <c r="C165" s="7"/>
      <c r="D165" s="7"/>
      <c r="E165" s="39"/>
      <c r="F165" s="39"/>
      <c r="G165" s="39"/>
      <c r="H165" s="39"/>
      <c r="I165" s="109" t="s">
        <v>1249</v>
      </c>
      <c r="J165" s="109" t="s">
        <v>1250</v>
      </c>
      <c r="K165" s="116" t="s">
        <v>1251</v>
      </c>
    </row>
    <row r="166" spans="1:17" ht="16.5" customHeight="1">
      <c r="A166" t="s">
        <v>1248</v>
      </c>
      <c r="B166" s="7"/>
      <c r="C166" s="7"/>
      <c r="D166" s="7"/>
      <c r="E166" s="7"/>
      <c r="F166" s="7"/>
      <c r="G166" s="7"/>
      <c r="H166" s="7"/>
      <c r="I166" s="109" t="s">
        <v>1252</v>
      </c>
      <c r="J166" s="113"/>
      <c r="K166" s="114" t="s">
        <v>1253</v>
      </c>
    </row>
    <row r="167" spans="1:17" ht="16.5">
      <c r="A167" t="s">
        <v>828</v>
      </c>
      <c r="B167" s="7" t="s">
        <v>850</v>
      </c>
      <c r="C167" s="7"/>
      <c r="D167" s="7"/>
      <c r="E167" s="7" t="s">
        <v>826</v>
      </c>
      <c r="F167" s="7"/>
      <c r="G167" s="7"/>
      <c r="H167" s="7"/>
      <c r="I167" s="109" t="s">
        <v>1254</v>
      </c>
      <c r="J167" s="113"/>
      <c r="K167" s="114" t="s">
        <v>1255</v>
      </c>
    </row>
    <row r="168" spans="1:17" ht="16.5">
      <c r="A168" t="s">
        <v>1248</v>
      </c>
      <c r="B168" s="7"/>
      <c r="C168" s="7"/>
      <c r="D168" s="7"/>
      <c r="E168" s="7"/>
      <c r="F168" s="7"/>
      <c r="G168" s="7"/>
      <c r="H168" s="7"/>
      <c r="I168" s="109" t="s">
        <v>1256</v>
      </c>
      <c r="J168" s="113"/>
      <c r="K168" s="114" t="s">
        <v>1257</v>
      </c>
    </row>
    <row r="169" spans="1:17" ht="16.5" customHeight="1">
      <c r="A169" t="s">
        <v>828</v>
      </c>
      <c r="B169" s="7" t="s">
        <v>821</v>
      </c>
      <c r="C169" s="7" t="s">
        <v>1258</v>
      </c>
      <c r="D169" s="7"/>
      <c r="E169" s="7" t="s">
        <v>826</v>
      </c>
      <c r="F169" s="7"/>
      <c r="G169" s="7"/>
      <c r="H169" s="7"/>
      <c r="I169" s="155" t="s">
        <v>1259</v>
      </c>
      <c r="J169" s="5" t="s">
        <v>1260</v>
      </c>
      <c r="K169" s="114" t="s">
        <v>1261</v>
      </c>
    </row>
    <row r="170" spans="1:17" ht="16.5" customHeight="1">
      <c r="A170" t="s">
        <v>1262</v>
      </c>
      <c r="B170" s="7" t="s">
        <v>821</v>
      </c>
      <c r="C170" s="7"/>
      <c r="D170" s="7"/>
      <c r="E170" s="7" t="s">
        <v>964</v>
      </c>
      <c r="F170" s="7"/>
      <c r="G170" s="7"/>
      <c r="H170" s="7"/>
      <c r="I170" s="109" t="s">
        <v>1263</v>
      </c>
      <c r="J170" s="5" t="s">
        <v>1264</v>
      </c>
      <c r="K170" s="8" t="s">
        <v>1265</v>
      </c>
    </row>
    <row r="171" spans="1:17" ht="16.5">
      <c r="A171" t="s">
        <v>828</v>
      </c>
      <c r="B171" s="7"/>
      <c r="C171" s="7"/>
      <c r="D171" s="7"/>
      <c r="E171" s="41" t="s">
        <v>823</v>
      </c>
      <c r="F171" s="41" t="s">
        <v>823</v>
      </c>
      <c r="G171" s="3"/>
      <c r="H171" s="46"/>
      <c r="I171" s="121" t="s">
        <v>1266</v>
      </c>
      <c r="J171" s="122"/>
      <c r="K171" s="108"/>
      <c r="L171" s="59"/>
      <c r="M171" s="51" t="s">
        <v>1267</v>
      </c>
      <c r="N171" s="82"/>
      <c r="O171" s="90"/>
      <c r="P171" s="82"/>
      <c r="Q171" s="3"/>
    </row>
    <row r="172" spans="1:17" ht="16.5">
      <c r="B172" s="7"/>
      <c r="C172" s="7"/>
      <c r="D172" s="7"/>
      <c r="E172" s="7"/>
      <c r="F172" s="7"/>
      <c r="G172" s="7"/>
      <c r="H172" s="7"/>
      <c r="I172" s="113" t="s">
        <v>1268</v>
      </c>
      <c r="J172" s="113" t="s">
        <v>1269</v>
      </c>
      <c r="K172" s="114"/>
    </row>
    <row r="173" spans="1:17" ht="16.5">
      <c r="A173" t="s">
        <v>1002</v>
      </c>
      <c r="B173" s="7" t="s">
        <v>821</v>
      </c>
      <c r="C173" s="7"/>
      <c r="D173" s="7"/>
      <c r="E173" s="7" t="s">
        <v>826</v>
      </c>
      <c r="F173" s="7"/>
      <c r="G173" s="7"/>
      <c r="H173" s="7"/>
      <c r="I173" s="10" t="s">
        <v>1270</v>
      </c>
      <c r="J173" s="113" t="s">
        <v>997</v>
      </c>
      <c r="K173" s="114" t="s">
        <v>1271</v>
      </c>
    </row>
    <row r="174" spans="1:17" ht="16.5">
      <c r="A174" t="s">
        <v>1002</v>
      </c>
      <c r="B174" s="7"/>
      <c r="C174" s="7" t="s">
        <v>1051</v>
      </c>
      <c r="D174" s="7"/>
      <c r="E174" s="7" t="s">
        <v>826</v>
      </c>
      <c r="F174" s="7"/>
      <c r="G174" s="7"/>
      <c r="H174" s="7"/>
      <c r="I174" s="109" t="s">
        <v>1272</v>
      </c>
      <c r="J174" s="131" t="s">
        <v>1273</v>
      </c>
      <c r="K174" s="114" t="s">
        <v>1274</v>
      </c>
      <c r="L174" s="109" t="s">
        <v>1275</v>
      </c>
      <c r="M174" s="131" t="s">
        <v>1276</v>
      </c>
    </row>
    <row r="175" spans="1:17" ht="16.5">
      <c r="B175" s="7"/>
      <c r="C175" s="7"/>
      <c r="D175" s="7" t="s">
        <v>1277</v>
      </c>
      <c r="E175" s="7" t="s">
        <v>1278</v>
      </c>
      <c r="F175" s="7"/>
      <c r="G175" s="7"/>
      <c r="H175" s="7"/>
      <c r="I175" s="109" t="s">
        <v>1279</v>
      </c>
      <c r="J175" s="113"/>
      <c r="K175" s="114"/>
    </row>
    <row r="176" spans="1:17" ht="16.5" customHeight="1">
      <c r="B176" s="7"/>
      <c r="C176" s="7"/>
      <c r="D176" s="7"/>
      <c r="E176" s="7"/>
      <c r="F176" s="7"/>
      <c r="G176" s="7"/>
      <c r="H176" s="7"/>
      <c r="I176" s="109" t="s">
        <v>1280</v>
      </c>
      <c r="J176" s="113" t="s">
        <v>1281</v>
      </c>
      <c r="K176" s="116"/>
    </row>
    <row r="177" spans="1:17" ht="16.5" customHeight="1">
      <c r="B177" s="7"/>
      <c r="C177" s="7"/>
      <c r="D177" s="7"/>
      <c r="E177" s="7"/>
      <c r="F177" s="7"/>
      <c r="G177" s="7"/>
      <c r="H177" s="7"/>
      <c r="I177" s="109" t="s">
        <v>1282</v>
      </c>
      <c r="J177" s="113"/>
      <c r="K177" s="114" t="s">
        <v>1283</v>
      </c>
    </row>
    <row r="178" spans="1:17" ht="16.5">
      <c r="B178" s="7"/>
      <c r="C178" s="7"/>
      <c r="D178" s="7"/>
      <c r="E178" s="7"/>
      <c r="F178" s="7"/>
      <c r="G178" s="7"/>
      <c r="H178" s="7"/>
      <c r="I178" s="109" t="s">
        <v>1284</v>
      </c>
      <c r="J178" s="156" t="s">
        <v>1285</v>
      </c>
      <c r="K178" s="114" t="s">
        <v>1286</v>
      </c>
    </row>
    <row r="179" spans="1:17" ht="16.5">
      <c r="A179" t="s">
        <v>828</v>
      </c>
      <c r="B179" s="7" t="s">
        <v>881</v>
      </c>
      <c r="C179" s="7" t="s">
        <v>3</v>
      </c>
      <c r="D179" s="7"/>
      <c r="E179" s="62" t="s">
        <v>965</v>
      </c>
      <c r="F179" s="62" t="s">
        <v>965</v>
      </c>
      <c r="G179" s="142" t="s">
        <v>1287</v>
      </c>
      <c r="H179" s="134">
        <v>6</v>
      </c>
      <c r="I179" s="135" t="s">
        <v>1288</v>
      </c>
      <c r="J179" s="150" t="s">
        <v>1289</v>
      </c>
      <c r="K179" s="137" t="s">
        <v>1290</v>
      </c>
      <c r="L179" s="44" t="s">
        <v>1291</v>
      </c>
      <c r="M179" s="44"/>
      <c r="N179" s="26" t="s">
        <v>970</v>
      </c>
    </row>
    <row r="180" spans="1:17" ht="16.5">
      <c r="B180" s="7"/>
      <c r="C180" s="7" t="s">
        <v>825</v>
      </c>
      <c r="D180" s="120"/>
      <c r="E180" s="7"/>
      <c r="F180" s="7"/>
      <c r="G180" s="7"/>
      <c r="H180" s="7"/>
      <c r="I180" s="109" t="s">
        <v>1292</v>
      </c>
      <c r="J180" s="21" t="s">
        <v>1293</v>
      </c>
      <c r="K180" s="114" t="s">
        <v>1294</v>
      </c>
    </row>
    <row r="181" spans="1:17" ht="18" customHeight="1">
      <c r="A181" t="s">
        <v>828</v>
      </c>
      <c r="B181" s="7"/>
      <c r="C181" s="7"/>
      <c r="D181" s="7"/>
      <c r="E181" s="61" t="s">
        <v>823</v>
      </c>
      <c r="F181" s="61" t="s">
        <v>823</v>
      </c>
      <c r="G181" s="104"/>
      <c r="H181" s="105">
        <v>0</v>
      </c>
      <c r="I181" s="106" t="s">
        <v>1292</v>
      </c>
      <c r="J181" s="123" t="s">
        <v>1293</v>
      </c>
      <c r="K181" s="108" t="s">
        <v>1294</v>
      </c>
      <c r="L181" s="59"/>
      <c r="M181" s="51" t="s">
        <v>1295</v>
      </c>
      <c r="N181" s="82"/>
      <c r="O181" s="90" t="s">
        <v>825</v>
      </c>
      <c r="P181" s="82"/>
      <c r="Q181" s="3"/>
    </row>
    <row r="182" spans="1:17" ht="16.5">
      <c r="A182" t="s">
        <v>828</v>
      </c>
      <c r="B182" s="7" t="s">
        <v>3</v>
      </c>
      <c r="C182" s="7"/>
      <c r="D182" s="7"/>
      <c r="E182" s="39" t="s">
        <v>1296</v>
      </c>
      <c r="F182" s="39"/>
      <c r="G182" s="39"/>
      <c r="H182" s="39"/>
      <c r="I182" s="109" t="s">
        <v>1297</v>
      </c>
      <c r="J182" s="131" t="s">
        <v>1298</v>
      </c>
      <c r="K182" s="114" t="s">
        <v>1299</v>
      </c>
    </row>
    <row r="183" spans="1:17" ht="16.5">
      <c r="A183" t="s">
        <v>824</v>
      </c>
      <c r="B183" s="7" t="s">
        <v>850</v>
      </c>
      <c r="C183" s="7"/>
      <c r="D183" s="7"/>
      <c r="E183" s="7" t="s">
        <v>964</v>
      </c>
      <c r="F183" s="7"/>
      <c r="G183" s="7"/>
      <c r="H183" s="7"/>
      <c r="I183" s="10" t="s">
        <v>1300</v>
      </c>
      <c r="J183" s="5" t="s">
        <v>1301</v>
      </c>
      <c r="K183" s="114" t="s">
        <v>1302</v>
      </c>
    </row>
    <row r="184" spans="1:17" ht="26.25" customHeight="1">
      <c r="A184" t="s">
        <v>828</v>
      </c>
      <c r="B184" s="7"/>
      <c r="C184" s="7" t="s">
        <v>825</v>
      </c>
      <c r="D184" s="7"/>
      <c r="E184" s="61" t="s">
        <v>823</v>
      </c>
      <c r="F184" s="61" t="s">
        <v>823</v>
      </c>
      <c r="G184" s="104"/>
      <c r="H184" s="105" t="e">
        <f>#REF!+1</f>
        <v>#REF!</v>
      </c>
      <c r="I184" s="106" t="s">
        <v>1303</v>
      </c>
      <c r="J184" s="139" t="s">
        <v>1304</v>
      </c>
      <c r="K184" s="108" t="s">
        <v>1305</v>
      </c>
      <c r="L184" s="59"/>
      <c r="M184" s="51"/>
      <c r="N184" s="82"/>
      <c r="O184" s="90" t="s">
        <v>825</v>
      </c>
      <c r="P184" s="82"/>
      <c r="Q184" s="3"/>
    </row>
    <row r="185" spans="1:17" ht="16.5">
      <c r="A185" t="s">
        <v>828</v>
      </c>
      <c r="B185" s="7" t="s">
        <v>892</v>
      </c>
      <c r="C185" s="7" t="s">
        <v>854</v>
      </c>
      <c r="D185" s="7"/>
      <c r="E185" s="61" t="s">
        <v>823</v>
      </c>
      <c r="F185" s="61" t="s">
        <v>823</v>
      </c>
      <c r="G185" s="104" t="s">
        <v>910</v>
      </c>
      <c r="H185" s="105" t="e">
        <f>#REF!+1</f>
        <v>#REF!</v>
      </c>
      <c r="I185" s="124" t="s">
        <v>1306</v>
      </c>
      <c r="J185" s="122"/>
      <c r="K185" s="108" t="s">
        <v>1307</v>
      </c>
      <c r="L185" s="59"/>
      <c r="M185" s="51" t="s">
        <v>1308</v>
      </c>
      <c r="N185" s="82"/>
      <c r="O185" s="90" t="s">
        <v>854</v>
      </c>
      <c r="P185" s="82" t="s">
        <v>850</v>
      </c>
      <c r="Q185" s="3" t="s">
        <v>1007</v>
      </c>
    </row>
    <row r="186" spans="1:17" ht="28.5" customHeight="1">
      <c r="A186" t="s">
        <v>1248</v>
      </c>
      <c r="B186" s="7" t="s">
        <v>821</v>
      </c>
      <c r="C186" s="7"/>
      <c r="D186" s="7"/>
      <c r="E186" s="7" t="s">
        <v>965</v>
      </c>
      <c r="F186" s="7"/>
      <c r="G186" s="7"/>
      <c r="H186" s="7"/>
      <c r="I186" s="109" t="s">
        <v>1309</v>
      </c>
      <c r="J186" s="113"/>
      <c r="K186" s="114"/>
    </row>
    <row r="187" spans="1:17" ht="16.5">
      <c r="A187" t="s">
        <v>1310</v>
      </c>
      <c r="B187" s="7" t="s">
        <v>821</v>
      </c>
      <c r="C187" s="7"/>
      <c r="D187" s="7"/>
      <c r="E187" s="7"/>
      <c r="F187" s="7"/>
      <c r="G187" s="7"/>
      <c r="H187" s="7"/>
      <c r="I187" s="109" t="s">
        <v>1311</v>
      </c>
      <c r="J187" s="113" t="s">
        <v>1312</v>
      </c>
      <c r="K187" s="114" t="s">
        <v>1313</v>
      </c>
    </row>
    <row r="188" spans="1:17" ht="16.5">
      <c r="B188" s="7"/>
      <c r="C188" s="7" t="s">
        <v>1314</v>
      </c>
      <c r="D188" s="120"/>
      <c r="E188" s="7"/>
      <c r="F188" s="7"/>
      <c r="G188" s="117" t="s">
        <v>559</v>
      </c>
      <c r="H188" s="7"/>
      <c r="I188" s="158" t="s">
        <v>1315</v>
      </c>
      <c r="J188" s="159"/>
      <c r="K188" s="160"/>
    </row>
    <row r="189" spans="1:17" ht="16.5">
      <c r="A189" t="s">
        <v>828</v>
      </c>
      <c r="B189" s="7"/>
      <c r="C189" s="7"/>
      <c r="D189" s="7"/>
      <c r="E189" s="61" t="s">
        <v>823</v>
      </c>
      <c r="F189" s="61" t="s">
        <v>823</v>
      </c>
      <c r="G189" s="161"/>
      <c r="H189" s="161"/>
      <c r="I189" s="162" t="s">
        <v>1315</v>
      </c>
      <c r="J189" s="163"/>
      <c r="K189" s="164"/>
      <c r="L189" s="165"/>
      <c r="M189" s="166"/>
      <c r="N189" s="87"/>
      <c r="O189" s="94" t="s">
        <v>1314</v>
      </c>
      <c r="P189" s="87"/>
    </row>
    <row r="190" spans="1:17" ht="16.5" customHeight="1">
      <c r="B190" s="7"/>
      <c r="C190" s="7"/>
      <c r="D190" s="7"/>
      <c r="E190" s="7"/>
      <c r="F190" s="7"/>
      <c r="G190" s="7"/>
      <c r="H190" s="7"/>
      <c r="I190" s="109" t="s">
        <v>1316</v>
      </c>
      <c r="J190" s="109" t="s">
        <v>1317</v>
      </c>
      <c r="K190" s="116"/>
    </row>
    <row r="191" spans="1:17" ht="16.5" customHeight="1">
      <c r="B191" s="7"/>
      <c r="C191" s="7"/>
      <c r="D191" s="7" t="s">
        <v>1277</v>
      </c>
      <c r="E191" s="7"/>
      <c r="F191" s="7"/>
      <c r="G191" s="7"/>
      <c r="H191" s="7"/>
      <c r="I191" s="109" t="s">
        <v>1318</v>
      </c>
      <c r="J191" s="156" t="s">
        <v>3</v>
      </c>
      <c r="K191" s="114"/>
    </row>
    <row r="192" spans="1:17" ht="16.5">
      <c r="A192" t="s">
        <v>828</v>
      </c>
      <c r="B192" s="7"/>
      <c r="C192" s="7"/>
      <c r="D192" s="7"/>
      <c r="E192" s="61" t="s">
        <v>823</v>
      </c>
      <c r="F192" s="61" t="s">
        <v>823</v>
      </c>
      <c r="G192" s="104"/>
      <c r="H192" s="105"/>
      <c r="I192" s="121" t="s">
        <v>1319</v>
      </c>
      <c r="J192" s="122"/>
      <c r="K192" s="108" t="s">
        <v>1320</v>
      </c>
      <c r="L192" s="59" t="s">
        <v>1321</v>
      </c>
      <c r="M192" s="51"/>
      <c r="N192" s="82"/>
      <c r="O192" s="90"/>
      <c r="P192" s="82"/>
      <c r="Q192" s="3"/>
    </row>
    <row r="193" spans="1:17" ht="16.5">
      <c r="B193" s="7"/>
      <c r="C193" s="7"/>
      <c r="D193" s="7" t="s">
        <v>1277</v>
      </c>
      <c r="E193" s="7"/>
      <c r="F193" s="7"/>
      <c r="G193" s="7"/>
      <c r="H193" s="7"/>
      <c r="I193" s="109" t="s">
        <v>1322</v>
      </c>
      <c r="J193" s="113" t="s">
        <v>1323</v>
      </c>
      <c r="K193" s="114" t="s">
        <v>1324</v>
      </c>
    </row>
    <row r="194" spans="1:17" ht="16.5" customHeight="1">
      <c r="B194" s="7"/>
      <c r="C194" s="7"/>
      <c r="D194" s="7"/>
      <c r="E194" s="7"/>
      <c r="F194" s="7"/>
      <c r="G194" s="7"/>
      <c r="H194" s="7"/>
      <c r="I194" s="109" t="s">
        <v>1325</v>
      </c>
      <c r="J194" s="109"/>
      <c r="K194" s="116"/>
    </row>
    <row r="195" spans="1:17" ht="16.5" customHeight="1">
      <c r="A195" t="s">
        <v>828</v>
      </c>
      <c r="B195" s="7" t="s">
        <v>850</v>
      </c>
      <c r="C195" s="7" t="s">
        <v>825</v>
      </c>
      <c r="D195" s="7"/>
      <c r="E195" s="61" t="s">
        <v>823</v>
      </c>
      <c r="F195" s="61" t="s">
        <v>823</v>
      </c>
      <c r="G195" s="104"/>
      <c r="H195" s="105" t="e">
        <f>#REF!+1</f>
        <v>#REF!</v>
      </c>
      <c r="I195" s="106" t="s">
        <v>1326</v>
      </c>
      <c r="J195" s="139" t="s">
        <v>1327</v>
      </c>
      <c r="K195" s="108" t="s">
        <v>1328</v>
      </c>
      <c r="L195" s="59"/>
      <c r="M195" s="51"/>
      <c r="N195" s="82"/>
      <c r="O195" s="90" t="s">
        <v>825</v>
      </c>
      <c r="P195" s="82"/>
      <c r="Q195" s="99" t="s">
        <v>970</v>
      </c>
    </row>
    <row r="196" spans="1:17" ht="16.5">
      <c r="A196" t="s">
        <v>1310</v>
      </c>
      <c r="B196" s="7" t="s">
        <v>850</v>
      </c>
      <c r="C196" s="7" t="s">
        <v>1329</v>
      </c>
      <c r="D196" s="7"/>
      <c r="E196" s="7"/>
      <c r="F196" s="7"/>
      <c r="G196" s="7"/>
      <c r="H196" s="7"/>
      <c r="I196" s="109" t="s">
        <v>1330</v>
      </c>
      <c r="J196" s="113" t="s">
        <v>1331</v>
      </c>
      <c r="K196" s="114" t="s">
        <v>1332</v>
      </c>
    </row>
    <row r="197" spans="1:17" ht="16.5">
      <c r="B197" s="7" t="s">
        <v>821</v>
      </c>
      <c r="C197" s="7"/>
      <c r="D197" s="7"/>
      <c r="E197" s="7"/>
      <c r="F197" s="7"/>
      <c r="G197" s="7"/>
      <c r="H197" s="7"/>
      <c r="I197" s="111" t="s">
        <v>1333</v>
      </c>
      <c r="J197" s="113" t="s">
        <v>1334</v>
      </c>
      <c r="K197" s="114" t="s">
        <v>1335</v>
      </c>
    </row>
    <row r="198" spans="1:17" ht="16.5">
      <c r="A198" t="s">
        <v>828</v>
      </c>
      <c r="B198" s="7"/>
      <c r="C198" s="7" t="s">
        <v>825</v>
      </c>
      <c r="D198" s="7"/>
      <c r="E198" s="61" t="s">
        <v>823</v>
      </c>
      <c r="F198" s="61" t="s">
        <v>823</v>
      </c>
      <c r="G198" s="104"/>
      <c r="H198" s="105" t="e">
        <f>#REF!+1</f>
        <v>#REF!</v>
      </c>
      <c r="I198" s="106" t="s">
        <v>1336</v>
      </c>
      <c r="J198" s="122"/>
      <c r="K198" s="108" t="s">
        <v>1337</v>
      </c>
      <c r="L198" s="59"/>
      <c r="M198" s="51" t="s">
        <v>1338</v>
      </c>
      <c r="N198" s="82"/>
      <c r="O198" s="90" t="s">
        <v>825</v>
      </c>
      <c r="P198" s="82"/>
      <c r="Q198" s="3"/>
    </row>
    <row r="199" spans="1:17" ht="16.5">
      <c r="B199" s="7" t="s">
        <v>1006</v>
      </c>
      <c r="C199" s="7" t="s">
        <v>850</v>
      </c>
      <c r="D199" s="7"/>
      <c r="E199" s="7"/>
      <c r="F199" s="7"/>
      <c r="G199" s="7"/>
      <c r="H199" s="7"/>
      <c r="I199" s="109" t="s">
        <v>1339</v>
      </c>
      <c r="J199" s="17" t="s">
        <v>1340</v>
      </c>
      <c r="K199" s="119" t="s">
        <v>1341</v>
      </c>
    </row>
    <row r="200" spans="1:17" ht="37.5">
      <c r="A200" t="s">
        <v>1342</v>
      </c>
      <c r="B200" s="7" t="s">
        <v>1006</v>
      </c>
      <c r="C200" s="7" t="s">
        <v>1329</v>
      </c>
      <c r="D200" s="7"/>
      <c r="E200" s="7" t="s">
        <v>964</v>
      </c>
      <c r="F200" s="7"/>
      <c r="G200" s="7"/>
      <c r="H200" s="7"/>
      <c r="I200" s="110" t="s">
        <v>1343</v>
      </c>
      <c r="J200" s="111" t="s">
        <v>1344</v>
      </c>
      <c r="K200" s="167" t="s">
        <v>1345</v>
      </c>
    </row>
    <row r="201" spans="1:17" ht="16.5">
      <c r="B201" s="7"/>
      <c r="C201" s="7"/>
      <c r="D201" s="7"/>
      <c r="E201" s="7"/>
      <c r="F201" s="7"/>
      <c r="G201" s="7"/>
      <c r="H201" s="7"/>
      <c r="I201" s="109" t="s">
        <v>1346</v>
      </c>
      <c r="J201" s="113" t="s">
        <v>1347</v>
      </c>
      <c r="K201" s="114" t="s">
        <v>1348</v>
      </c>
    </row>
    <row r="202" spans="1:17" ht="16.5">
      <c r="B202" s="7"/>
      <c r="C202" s="7"/>
      <c r="D202" s="7"/>
      <c r="E202" s="7"/>
      <c r="F202" s="7"/>
      <c r="G202" s="117" t="s">
        <v>559</v>
      </c>
      <c r="H202" s="7"/>
      <c r="I202" s="109" t="s">
        <v>1349</v>
      </c>
      <c r="J202" s="113" t="s">
        <v>559</v>
      </c>
      <c r="K202" s="114"/>
    </row>
    <row r="203" spans="1:17" ht="16.5">
      <c r="B203" s="7"/>
      <c r="C203" s="7"/>
      <c r="D203" s="7"/>
      <c r="E203" s="7"/>
      <c r="F203" s="7"/>
      <c r="G203" s="117" t="s">
        <v>559</v>
      </c>
      <c r="H203" s="7"/>
      <c r="I203" s="109" t="s">
        <v>1350</v>
      </c>
      <c r="J203" s="113"/>
      <c r="K203" s="114"/>
    </row>
    <row r="204" spans="1:17" ht="16.5">
      <c r="B204" s="7" t="s">
        <v>821</v>
      </c>
      <c r="C204" s="7"/>
      <c r="D204" s="7"/>
      <c r="E204" s="7" t="s">
        <v>1351</v>
      </c>
      <c r="F204" s="7"/>
      <c r="G204" s="7"/>
      <c r="H204" s="7"/>
      <c r="I204" s="109" t="s">
        <v>1352</v>
      </c>
      <c r="J204" s="11" t="s">
        <v>1353</v>
      </c>
      <c r="K204" s="114" t="s">
        <v>1354</v>
      </c>
    </row>
    <row r="205" spans="1:17" ht="16.5" customHeight="1">
      <c r="B205" s="7"/>
      <c r="C205" s="7"/>
      <c r="D205" s="7"/>
      <c r="E205" s="7"/>
      <c r="F205" s="7"/>
      <c r="G205" s="7"/>
      <c r="H205" s="7"/>
      <c r="I205" s="109" t="s">
        <v>1355</v>
      </c>
      <c r="J205" s="109"/>
      <c r="K205" s="116"/>
    </row>
    <row r="206" spans="1:17" ht="16.5" customHeight="1">
      <c r="A206" t="s">
        <v>1310</v>
      </c>
      <c r="B206" s="7" t="s">
        <v>850</v>
      </c>
      <c r="C206" s="7"/>
      <c r="D206" s="7" t="s">
        <v>1356</v>
      </c>
      <c r="E206" s="112"/>
      <c r="F206" s="112"/>
      <c r="G206" s="112"/>
      <c r="H206" s="112"/>
      <c r="I206" s="109" t="s">
        <v>1357</v>
      </c>
      <c r="J206" s="113" t="s">
        <v>1358</v>
      </c>
      <c r="K206" s="114" t="s">
        <v>1359</v>
      </c>
    </row>
    <row r="207" spans="1:17" ht="16.5">
      <c r="B207" s="7"/>
      <c r="C207" s="7"/>
      <c r="D207" s="7"/>
      <c r="E207" s="7"/>
      <c r="F207" s="7"/>
      <c r="G207" s="7"/>
      <c r="H207" s="7"/>
      <c r="I207" s="109" t="s">
        <v>1360</v>
      </c>
      <c r="J207" s="118">
        <v>42534</v>
      </c>
      <c r="K207" s="114" t="s">
        <v>666</v>
      </c>
    </row>
    <row r="208" spans="1:17" ht="16.5">
      <c r="A208" t="s">
        <v>1361</v>
      </c>
      <c r="B208" s="7"/>
      <c r="C208" s="7"/>
      <c r="D208" s="7" t="s">
        <v>1362</v>
      </c>
      <c r="E208" s="112"/>
      <c r="F208" s="112"/>
      <c r="G208" s="112"/>
      <c r="H208" s="112"/>
      <c r="I208" s="109" t="s">
        <v>1363</v>
      </c>
      <c r="J208" s="113" t="s">
        <v>1364</v>
      </c>
      <c r="K208" s="114" t="s">
        <v>1365</v>
      </c>
    </row>
    <row r="209" spans="1:17" ht="16.5">
      <c r="A209" t="s">
        <v>1366</v>
      </c>
      <c r="B209" s="7"/>
      <c r="C209" s="7"/>
      <c r="D209" s="7"/>
      <c r="E209" s="7"/>
      <c r="F209" s="7"/>
      <c r="G209" s="7"/>
      <c r="H209" s="7"/>
      <c r="I209" s="109" t="s">
        <v>1367</v>
      </c>
      <c r="J209" s="113" t="s">
        <v>1368</v>
      </c>
      <c r="K209" s="114" t="s">
        <v>1369</v>
      </c>
    </row>
    <row r="210" spans="1:17" ht="18">
      <c r="B210" s="7"/>
      <c r="C210" s="7"/>
      <c r="D210" s="7"/>
      <c r="E210" s="7"/>
      <c r="F210" s="7"/>
      <c r="G210" s="7"/>
      <c r="H210" s="7"/>
      <c r="I210" s="110" t="s">
        <v>1370</v>
      </c>
      <c r="J210" s="151"/>
      <c r="K210" s="119" t="s">
        <v>1371</v>
      </c>
    </row>
    <row r="211" spans="1:17" ht="18">
      <c r="B211" s="7"/>
      <c r="C211" s="7"/>
      <c r="D211" s="7"/>
      <c r="E211" s="7"/>
      <c r="F211" s="7"/>
      <c r="G211" s="7"/>
      <c r="H211" s="7"/>
      <c r="I211" s="254" t="s">
        <v>1372</v>
      </c>
      <c r="J211" s="151"/>
      <c r="K211" s="119"/>
    </row>
    <row r="212" spans="1:17" ht="16.5">
      <c r="A212" t="s">
        <v>1342</v>
      </c>
      <c r="B212" s="7"/>
      <c r="C212" s="7"/>
      <c r="D212" s="7"/>
      <c r="E212" s="7" t="s">
        <v>1203</v>
      </c>
      <c r="F212" s="7"/>
      <c r="G212" s="7"/>
      <c r="H212" s="7"/>
      <c r="I212" s="109" t="s">
        <v>1373</v>
      </c>
      <c r="J212" s="113"/>
      <c r="K212" s="114" t="s">
        <v>1374</v>
      </c>
    </row>
    <row r="213" spans="1:17" ht="16.5">
      <c r="A213" t="s">
        <v>828</v>
      </c>
      <c r="B213" s="7"/>
      <c r="C213" s="7" t="s">
        <v>1375</v>
      </c>
      <c r="D213" s="7"/>
      <c r="E213" s="61" t="s">
        <v>823</v>
      </c>
      <c r="F213" s="61" t="s">
        <v>823</v>
      </c>
      <c r="G213" s="104"/>
      <c r="H213" s="105" t="e">
        <f>#REF!+1</f>
        <v>#REF!</v>
      </c>
      <c r="I213" s="106" t="s">
        <v>1376</v>
      </c>
      <c r="J213" s="168" t="s">
        <v>1377</v>
      </c>
      <c r="K213" s="108" t="s">
        <v>1378</v>
      </c>
      <c r="L213" s="59" t="s">
        <v>1379</v>
      </c>
      <c r="M213" s="141" t="s">
        <v>1380</v>
      </c>
      <c r="N213" s="82"/>
      <c r="O213" s="90" t="s">
        <v>1375</v>
      </c>
      <c r="P213" s="82"/>
      <c r="Q213" s="3"/>
    </row>
    <row r="214" spans="1:17" ht="16.5">
      <c r="B214" s="7"/>
      <c r="C214" s="7"/>
      <c r="D214" s="7"/>
      <c r="E214" s="7"/>
      <c r="F214" s="7"/>
      <c r="G214" s="7"/>
      <c r="H214" s="7"/>
      <c r="I214" s="109" t="s">
        <v>1381</v>
      </c>
      <c r="J214" s="118">
        <v>45078</v>
      </c>
      <c r="K214" s="114" t="s">
        <v>1382</v>
      </c>
    </row>
    <row r="215" spans="1:17" ht="16.5">
      <c r="B215" s="7"/>
      <c r="C215" s="7"/>
      <c r="D215" s="7"/>
      <c r="E215" s="7"/>
      <c r="F215" s="7"/>
      <c r="G215" s="7"/>
      <c r="H215" s="7"/>
      <c r="I215" s="16" t="s">
        <v>1383</v>
      </c>
      <c r="J215" s="21"/>
      <c r="K215" s="114"/>
    </row>
    <row r="216" spans="1:17" ht="16.5">
      <c r="B216" s="7"/>
      <c r="C216" s="7"/>
      <c r="D216" s="7"/>
      <c r="E216" s="7"/>
      <c r="F216" s="7"/>
      <c r="G216" s="7"/>
      <c r="H216" s="7"/>
      <c r="I216" s="109" t="s">
        <v>1384</v>
      </c>
      <c r="J216" s="113" t="s">
        <v>1385</v>
      </c>
      <c r="K216" s="114" t="s">
        <v>1386</v>
      </c>
    </row>
    <row r="217" spans="1:17" ht="16.5">
      <c r="B217" s="7"/>
      <c r="C217" s="7"/>
      <c r="D217" s="7"/>
      <c r="E217" s="7"/>
      <c r="F217" s="7"/>
      <c r="G217" s="7"/>
      <c r="H217" s="7"/>
      <c r="I217" s="109" t="s">
        <v>1387</v>
      </c>
      <c r="J217" s="113"/>
      <c r="K217" s="114"/>
    </row>
    <row r="218" spans="1:17" ht="16.5">
      <c r="A218" t="s">
        <v>828</v>
      </c>
      <c r="B218" s="7" t="s">
        <v>821</v>
      </c>
      <c r="C218" s="7"/>
      <c r="D218" s="7"/>
      <c r="E218" s="7" t="s">
        <v>826</v>
      </c>
      <c r="F218" s="7"/>
      <c r="G218" s="7"/>
      <c r="H218" s="7"/>
      <c r="I218" s="10" t="s">
        <v>1388</v>
      </c>
      <c r="J218" s="5" t="s">
        <v>1389</v>
      </c>
      <c r="K218" s="169" t="s">
        <v>1390</v>
      </c>
    </row>
    <row r="219" spans="1:17" ht="16.5">
      <c r="B219" s="7"/>
      <c r="C219" s="7"/>
      <c r="D219" s="7"/>
      <c r="E219" s="7"/>
      <c r="F219" s="7"/>
      <c r="G219" s="7"/>
      <c r="H219" s="7"/>
      <c r="I219" s="109" t="s">
        <v>1391</v>
      </c>
      <c r="J219" s="113"/>
      <c r="K219" s="114" t="s">
        <v>1392</v>
      </c>
    </row>
    <row r="220" spans="1:17" ht="16.5">
      <c r="B220" s="7" t="s">
        <v>821</v>
      </c>
      <c r="C220" s="7" t="s">
        <v>1393</v>
      </c>
      <c r="D220" s="7"/>
      <c r="E220" s="7"/>
      <c r="F220" s="7"/>
      <c r="G220" s="7"/>
      <c r="H220" s="7"/>
      <c r="I220" s="109" t="s">
        <v>1394</v>
      </c>
      <c r="J220" s="113"/>
      <c r="K220" s="114" t="s">
        <v>1395</v>
      </c>
    </row>
    <row r="221" spans="1:17" ht="16.5">
      <c r="B221" s="7"/>
      <c r="C221" s="7"/>
      <c r="D221" s="7"/>
      <c r="E221" s="7"/>
      <c r="F221" s="7"/>
      <c r="G221" s="7"/>
      <c r="H221" s="7"/>
      <c r="I221" s="109" t="s">
        <v>1396</v>
      </c>
      <c r="J221" s="113" t="s">
        <v>1397</v>
      </c>
      <c r="K221" s="114" t="s">
        <v>1398</v>
      </c>
    </row>
    <row r="222" spans="1:17" ht="16.5">
      <c r="A222" t="s">
        <v>824</v>
      </c>
      <c r="B222" s="7" t="s">
        <v>1006</v>
      </c>
      <c r="C222" s="7"/>
      <c r="D222" s="7"/>
      <c r="E222" s="7" t="s">
        <v>826</v>
      </c>
      <c r="F222" s="7"/>
      <c r="G222" s="7"/>
      <c r="H222" s="7"/>
      <c r="I222" s="109" t="s">
        <v>1399</v>
      </c>
      <c r="J222" s="113" t="s">
        <v>1400</v>
      </c>
      <c r="K222" s="114" t="s">
        <v>1401</v>
      </c>
    </row>
    <row r="223" spans="1:17" ht="16.5" customHeight="1">
      <c r="B223" s="7"/>
      <c r="C223" s="7" t="s">
        <v>856</v>
      </c>
      <c r="D223" s="7"/>
      <c r="E223" s="7"/>
      <c r="F223" s="7"/>
      <c r="G223" s="7"/>
      <c r="H223" s="7"/>
      <c r="I223" s="109" t="s">
        <v>1402</v>
      </c>
      <c r="J223" s="109" t="s">
        <v>1403</v>
      </c>
      <c r="K223" s="116"/>
    </row>
    <row r="224" spans="1:17" ht="16.5" customHeight="1">
      <c r="B224" s="7"/>
      <c r="C224" s="7" t="s">
        <v>1404</v>
      </c>
      <c r="D224" s="7"/>
      <c r="E224" s="7"/>
      <c r="F224" s="7"/>
      <c r="G224" s="7"/>
      <c r="H224" s="7"/>
      <c r="I224" s="156" t="s">
        <v>1405</v>
      </c>
      <c r="J224" s="113" t="s">
        <v>1406</v>
      </c>
      <c r="K224" s="114" t="s">
        <v>1407</v>
      </c>
    </row>
    <row r="225" spans="1:17" ht="16.5">
      <c r="B225" s="7"/>
      <c r="C225" s="7"/>
      <c r="D225" s="7"/>
      <c r="E225" s="7"/>
      <c r="F225" s="7"/>
      <c r="G225" s="7"/>
      <c r="H225" s="7"/>
      <c r="I225" s="109" t="s">
        <v>1408</v>
      </c>
      <c r="J225" s="113" t="s">
        <v>1409</v>
      </c>
      <c r="K225" s="114" t="s">
        <v>1410</v>
      </c>
    </row>
    <row r="226" spans="1:17" ht="16.5">
      <c r="A226" t="s">
        <v>824</v>
      </c>
      <c r="B226" s="7"/>
      <c r="C226" s="7"/>
      <c r="D226" s="7"/>
      <c r="E226" s="7" t="s">
        <v>826</v>
      </c>
      <c r="F226" s="7"/>
      <c r="G226" s="7"/>
      <c r="H226" s="7"/>
      <c r="I226" s="109" t="s">
        <v>1411</v>
      </c>
      <c r="J226" s="12" t="s">
        <v>1412</v>
      </c>
      <c r="K226" s="114" t="s">
        <v>1413</v>
      </c>
    </row>
    <row r="227" spans="1:17" ht="16.5">
      <c r="B227" s="7"/>
      <c r="C227" s="7"/>
      <c r="D227" s="7"/>
      <c r="E227" s="7"/>
      <c r="F227" s="7"/>
      <c r="G227" s="7"/>
      <c r="H227" s="7"/>
      <c r="I227" s="109" t="s">
        <v>1414</v>
      </c>
      <c r="J227" s="113"/>
      <c r="K227" s="114" t="s">
        <v>1415</v>
      </c>
    </row>
    <row r="228" spans="1:17" ht="16.5">
      <c r="B228" s="7"/>
      <c r="C228" s="7"/>
      <c r="D228" s="7"/>
      <c r="E228" s="7"/>
      <c r="F228" s="7"/>
      <c r="G228" s="117" t="s">
        <v>559</v>
      </c>
      <c r="H228" s="7"/>
      <c r="I228" s="109" t="s">
        <v>1416</v>
      </c>
      <c r="J228" s="113" t="s">
        <v>559</v>
      </c>
      <c r="K228" s="114"/>
    </row>
    <row r="229" spans="1:17" ht="16.5">
      <c r="A229" t="s">
        <v>828</v>
      </c>
      <c r="B229" s="7"/>
      <c r="C229" s="7" t="s">
        <v>1314</v>
      </c>
      <c r="D229" s="7"/>
      <c r="E229" s="61" t="s">
        <v>823</v>
      </c>
      <c r="F229" s="61" t="s">
        <v>823</v>
      </c>
      <c r="G229" s="117" t="s">
        <v>559</v>
      </c>
      <c r="H229" s="161"/>
      <c r="I229" s="162" t="s">
        <v>1417</v>
      </c>
      <c r="J229" s="170"/>
      <c r="K229" s="164"/>
      <c r="L229" s="165"/>
      <c r="M229" s="166"/>
      <c r="N229" s="87"/>
      <c r="O229" s="94" t="s">
        <v>1314</v>
      </c>
      <c r="P229" s="87"/>
    </row>
    <row r="230" spans="1:17" ht="16.5">
      <c r="A230" t="s">
        <v>828</v>
      </c>
      <c r="B230" s="7" t="s">
        <v>3</v>
      </c>
      <c r="C230" s="7" t="s">
        <v>3</v>
      </c>
      <c r="D230" s="7"/>
      <c r="E230" s="62" t="s">
        <v>965</v>
      </c>
      <c r="F230" s="62" t="s">
        <v>965</v>
      </c>
      <c r="G230" s="142"/>
      <c r="H230" s="134">
        <v>4</v>
      </c>
      <c r="I230" s="135" t="s">
        <v>1418</v>
      </c>
      <c r="J230" s="143" t="s">
        <v>1419</v>
      </c>
      <c r="K230" s="171" t="s">
        <v>1420</v>
      </c>
      <c r="L230" s="44" t="s">
        <v>1421</v>
      </c>
      <c r="M230" s="44"/>
    </row>
    <row r="231" spans="1:17" ht="16.5">
      <c r="A231" t="s">
        <v>828</v>
      </c>
      <c r="B231" s="7" t="s">
        <v>881</v>
      </c>
      <c r="C231" s="7" t="s">
        <v>3</v>
      </c>
      <c r="D231" s="7"/>
      <c r="E231" s="62" t="s">
        <v>965</v>
      </c>
      <c r="F231" s="62" t="s">
        <v>965</v>
      </c>
      <c r="G231" s="142" t="s">
        <v>1076</v>
      </c>
      <c r="H231" s="134">
        <v>5</v>
      </c>
      <c r="I231" s="135" t="s">
        <v>1422</v>
      </c>
      <c r="J231" s="150" t="s">
        <v>1289</v>
      </c>
      <c r="K231" s="137" t="s">
        <v>1290</v>
      </c>
      <c r="L231" s="44" t="s">
        <v>1291</v>
      </c>
      <c r="M231" s="44"/>
      <c r="N231" s="26" t="s">
        <v>970</v>
      </c>
    </row>
    <row r="232" spans="1:17" ht="16.5" customHeight="1">
      <c r="A232" t="s">
        <v>828</v>
      </c>
      <c r="B232" s="7"/>
      <c r="C232" s="7"/>
      <c r="D232" s="7"/>
      <c r="E232" s="7" t="s">
        <v>965</v>
      </c>
      <c r="F232" s="7"/>
      <c r="G232" s="7"/>
      <c r="H232" s="7"/>
      <c r="I232" s="109" t="s">
        <v>1423</v>
      </c>
      <c r="J232" s="118">
        <v>45098</v>
      </c>
      <c r="K232" s="114" t="s">
        <v>1093</v>
      </c>
    </row>
    <row r="233" spans="1:17" ht="16.5">
      <c r="B233" s="7" t="s">
        <v>1006</v>
      </c>
      <c r="C233" s="7" t="s">
        <v>1329</v>
      </c>
      <c r="D233" s="7"/>
      <c r="E233" s="7"/>
      <c r="F233" s="7"/>
      <c r="G233" s="7"/>
      <c r="H233" s="7"/>
      <c r="I233" s="111" t="s">
        <v>1424</v>
      </c>
      <c r="J233" s="113" t="s">
        <v>1425</v>
      </c>
      <c r="K233" s="114" t="s">
        <v>1426</v>
      </c>
    </row>
    <row r="234" spans="1:17" ht="16.5">
      <c r="A234" t="s">
        <v>828</v>
      </c>
      <c r="B234" s="7" t="s">
        <v>821</v>
      </c>
      <c r="C234" s="7" t="s">
        <v>3</v>
      </c>
      <c r="D234" s="7"/>
      <c r="E234" s="62" t="s">
        <v>965</v>
      </c>
      <c r="F234" s="62" t="s">
        <v>965</v>
      </c>
      <c r="G234" s="154">
        <v>49814</v>
      </c>
      <c r="H234" s="154" t="s">
        <v>523</v>
      </c>
      <c r="I234" s="135" t="s">
        <v>1427</v>
      </c>
      <c r="J234" s="172" t="s">
        <v>1428</v>
      </c>
      <c r="K234" s="137" t="s">
        <v>1429</v>
      </c>
      <c r="L234" s="44" t="s">
        <v>1430</v>
      </c>
      <c r="M234" s="44"/>
    </row>
    <row r="235" spans="1:17" ht="16.5">
      <c r="B235" s="7"/>
      <c r="C235" s="7"/>
      <c r="D235" s="7"/>
      <c r="E235" s="7"/>
      <c r="F235" s="7"/>
      <c r="G235" s="7"/>
      <c r="H235" s="7"/>
      <c r="I235" s="109" t="s">
        <v>1431</v>
      </c>
      <c r="J235" s="113"/>
      <c r="K235" s="114" t="s">
        <v>1432</v>
      </c>
    </row>
    <row r="236" spans="1:17" ht="16.5" customHeight="1">
      <c r="B236" s="7"/>
      <c r="C236" s="7" t="s">
        <v>1051</v>
      </c>
      <c r="D236" s="7"/>
      <c r="E236" s="7"/>
      <c r="F236" s="7"/>
      <c r="G236" s="7"/>
      <c r="H236" s="7"/>
      <c r="I236" s="109" t="s">
        <v>1433</v>
      </c>
      <c r="J236" s="109" t="s">
        <v>1434</v>
      </c>
      <c r="K236" s="116"/>
    </row>
    <row r="237" spans="1:17" ht="16.5">
      <c r="A237" t="s">
        <v>828</v>
      </c>
      <c r="B237" s="7"/>
      <c r="C237" s="7" t="s">
        <v>1329</v>
      </c>
      <c r="D237" s="7"/>
      <c r="E237" s="61" t="s">
        <v>823</v>
      </c>
      <c r="F237" s="61" t="s">
        <v>823</v>
      </c>
      <c r="G237" s="104"/>
      <c r="H237" s="105" t="e">
        <f>#REF!+1</f>
        <v>#REF!</v>
      </c>
      <c r="I237" s="106" t="s">
        <v>1435</v>
      </c>
      <c r="J237" s="107" t="s">
        <v>3</v>
      </c>
      <c r="K237" s="108" t="s">
        <v>1436</v>
      </c>
      <c r="L237" s="59"/>
      <c r="M237" s="51" t="s">
        <v>1437</v>
      </c>
      <c r="N237" s="82"/>
      <c r="O237" s="90" t="s">
        <v>1329</v>
      </c>
      <c r="P237" s="82"/>
      <c r="Q237" s="3"/>
    </row>
    <row r="238" spans="1:17" ht="16.5">
      <c r="B238" s="7"/>
      <c r="C238" s="7"/>
      <c r="D238" s="7"/>
      <c r="E238" s="7"/>
      <c r="F238" s="7"/>
      <c r="G238" s="7"/>
      <c r="H238" s="7"/>
      <c r="I238" s="109" t="s">
        <v>1438</v>
      </c>
      <c r="J238" s="5" t="s">
        <v>1439</v>
      </c>
      <c r="K238" s="15" t="s">
        <v>1440</v>
      </c>
    </row>
    <row r="239" spans="1:17" ht="16.5">
      <c r="A239" t="s">
        <v>828</v>
      </c>
      <c r="B239" s="7"/>
      <c r="C239" s="7" t="s">
        <v>1051</v>
      </c>
      <c r="D239" s="7"/>
      <c r="E239" s="61" t="s">
        <v>823</v>
      </c>
      <c r="F239" s="61" t="s">
        <v>823</v>
      </c>
      <c r="G239" s="104"/>
      <c r="H239" s="105" t="e">
        <f>#REF!+1</f>
        <v>#REF!</v>
      </c>
      <c r="I239" s="124" t="s">
        <v>1441</v>
      </c>
      <c r="J239" s="122" t="s">
        <v>1442</v>
      </c>
      <c r="K239" s="108" t="s">
        <v>1443</v>
      </c>
      <c r="L239" s="59" t="s">
        <v>1444</v>
      </c>
      <c r="M239" s="51" t="s">
        <v>1445</v>
      </c>
      <c r="N239" s="82"/>
      <c r="O239" s="90" t="s">
        <v>1051</v>
      </c>
      <c r="P239" s="82"/>
      <c r="Q239" s="3"/>
    </row>
    <row r="240" spans="1:17" ht="16.5">
      <c r="B240" s="7" t="s">
        <v>850</v>
      </c>
      <c r="C240" s="7"/>
      <c r="D240" s="7"/>
      <c r="E240" s="7"/>
      <c r="F240" s="7"/>
      <c r="G240" s="7"/>
      <c r="H240" s="7"/>
      <c r="I240" s="111" t="s">
        <v>1446</v>
      </c>
      <c r="J240" s="113" t="s">
        <v>1447</v>
      </c>
      <c r="K240" s="114" t="s">
        <v>1448</v>
      </c>
    </row>
    <row r="241" spans="1:17" ht="16.5">
      <c r="B241" s="7"/>
      <c r="C241" s="7" t="s">
        <v>854</v>
      </c>
      <c r="D241" s="7"/>
      <c r="E241" s="7"/>
      <c r="F241" s="7"/>
      <c r="G241" s="7"/>
      <c r="H241" s="7"/>
      <c r="I241" s="109" t="s">
        <v>1449</v>
      </c>
      <c r="J241" s="109" t="s">
        <v>1450</v>
      </c>
      <c r="K241" s="132"/>
    </row>
    <row r="242" spans="1:17" ht="16.5">
      <c r="A242" t="s">
        <v>828</v>
      </c>
      <c r="B242" s="7"/>
      <c r="C242" s="7" t="s">
        <v>825</v>
      </c>
      <c r="D242" s="7"/>
      <c r="E242" s="61" t="s">
        <v>823</v>
      </c>
      <c r="F242" s="61" t="s">
        <v>823</v>
      </c>
      <c r="G242" s="104"/>
      <c r="H242" s="105" t="e">
        <f>#REF!+1</f>
        <v>#REF!</v>
      </c>
      <c r="I242" s="106" t="s">
        <v>1451</v>
      </c>
      <c r="J242" s="106"/>
      <c r="K242" s="174" t="s">
        <v>1452</v>
      </c>
      <c r="L242" s="51"/>
      <c r="M242" s="51" t="s">
        <v>1453</v>
      </c>
      <c r="N242" s="82"/>
      <c r="O242" s="90" t="s">
        <v>825</v>
      </c>
      <c r="P242" s="82"/>
      <c r="Q242" s="3"/>
    </row>
    <row r="243" spans="1:17" ht="16.5">
      <c r="B243" s="7"/>
      <c r="C243" s="7"/>
      <c r="D243" s="7"/>
      <c r="E243" s="7"/>
      <c r="F243" s="7"/>
      <c r="G243" s="7"/>
      <c r="H243" s="7"/>
      <c r="I243" s="109" t="s">
        <v>1454</v>
      </c>
      <c r="J243" s="113"/>
      <c r="K243" s="114" t="s">
        <v>1455</v>
      </c>
    </row>
    <row r="244" spans="1:17" ht="16.5" customHeight="1">
      <c r="B244" s="7"/>
      <c r="C244" s="7"/>
      <c r="D244" s="7"/>
      <c r="E244" s="7"/>
      <c r="F244" s="7"/>
      <c r="G244" s="7"/>
      <c r="H244" s="7"/>
      <c r="I244" s="109" t="s">
        <v>1456</v>
      </c>
      <c r="J244" s="109"/>
      <c r="K244" s="116"/>
    </row>
    <row r="245" spans="1:17" ht="16.5" customHeight="1">
      <c r="B245" s="7"/>
      <c r="C245" s="7" t="s">
        <v>1051</v>
      </c>
      <c r="D245" s="7"/>
      <c r="E245" s="7"/>
      <c r="F245" s="7"/>
      <c r="G245" s="7"/>
      <c r="H245" s="7"/>
      <c r="I245" s="109" t="s">
        <v>1457</v>
      </c>
      <c r="J245" s="109" t="s">
        <v>1458</v>
      </c>
      <c r="K245" s="116"/>
    </row>
    <row r="246" spans="1:17" ht="16.5" customHeight="1">
      <c r="B246" s="7"/>
      <c r="C246" s="7" t="s">
        <v>1459</v>
      </c>
      <c r="D246" s="7"/>
      <c r="E246" s="7"/>
      <c r="F246" s="7"/>
      <c r="G246" s="7"/>
      <c r="H246" s="7"/>
      <c r="I246" s="109" t="s">
        <v>1460</v>
      </c>
      <c r="J246" s="109" t="s">
        <v>1461</v>
      </c>
      <c r="K246" s="116"/>
    </row>
    <row r="247" spans="1:17" ht="16.5" customHeight="1">
      <c r="B247" s="7"/>
      <c r="C247" s="7"/>
      <c r="D247" s="7" t="s">
        <v>1462</v>
      </c>
      <c r="E247" s="112"/>
      <c r="F247" s="112"/>
      <c r="G247" s="112"/>
      <c r="H247" s="112"/>
      <c r="I247" s="109" t="s">
        <v>1463</v>
      </c>
      <c r="J247" s="113" t="s">
        <v>1464</v>
      </c>
      <c r="K247" s="8" t="s">
        <v>1465</v>
      </c>
    </row>
    <row r="248" spans="1:17" ht="16.5">
      <c r="B248" s="7"/>
      <c r="C248" s="120"/>
      <c r="D248" s="120"/>
      <c r="E248" s="7"/>
      <c r="F248" s="7"/>
      <c r="G248" s="117" t="s">
        <v>559</v>
      </c>
      <c r="H248" s="7"/>
      <c r="I248" s="175" t="s">
        <v>1466</v>
      </c>
      <c r="J248" s="176" t="s">
        <v>1467</v>
      </c>
      <c r="K248" s="177" t="s">
        <v>1468</v>
      </c>
    </row>
    <row r="249" spans="1:17" ht="16.5">
      <c r="A249" t="s">
        <v>828</v>
      </c>
      <c r="B249" s="7"/>
      <c r="C249" s="7"/>
      <c r="D249" s="7"/>
      <c r="E249" s="61" t="s">
        <v>823</v>
      </c>
      <c r="F249" s="61" t="s">
        <v>823</v>
      </c>
      <c r="G249" s="161"/>
      <c r="H249" s="161"/>
      <c r="I249" s="178" t="s">
        <v>1466</v>
      </c>
      <c r="J249" s="179" t="s">
        <v>1467</v>
      </c>
      <c r="K249" s="180" t="s">
        <v>1468</v>
      </c>
      <c r="L249" s="23"/>
      <c r="M249" s="23" t="s">
        <v>1469</v>
      </c>
      <c r="N249" s="36"/>
      <c r="P249" s="36"/>
    </row>
    <row r="250" spans="1:17" ht="16.5">
      <c r="B250" s="7"/>
      <c r="C250" s="7"/>
      <c r="D250" s="7"/>
      <c r="E250" s="7"/>
      <c r="F250" s="7"/>
      <c r="G250" s="7"/>
      <c r="H250" s="7"/>
      <c r="I250" s="109" t="s">
        <v>1470</v>
      </c>
      <c r="J250" s="118">
        <v>43964</v>
      </c>
      <c r="K250" s="114" t="s">
        <v>1061</v>
      </c>
    </row>
    <row r="251" spans="1:17" ht="16.5">
      <c r="B251" s="7"/>
      <c r="C251" s="7"/>
      <c r="D251" s="7"/>
      <c r="E251" s="7"/>
      <c r="F251" s="7"/>
      <c r="G251" s="7"/>
      <c r="H251" s="7"/>
      <c r="I251" s="109" t="s">
        <v>1471</v>
      </c>
      <c r="J251" s="113"/>
      <c r="K251" s="114" t="s">
        <v>1472</v>
      </c>
    </row>
    <row r="252" spans="1:17" ht="16.5">
      <c r="A252" t="s">
        <v>828</v>
      </c>
      <c r="B252" s="7"/>
      <c r="C252" s="7" t="s">
        <v>825</v>
      </c>
      <c r="D252" s="7"/>
      <c r="E252" s="61" t="s">
        <v>823</v>
      </c>
      <c r="F252" s="61" t="s">
        <v>823</v>
      </c>
      <c r="G252" s="104"/>
      <c r="H252" s="105" t="e">
        <f>#REF!+1</f>
        <v>#REF!</v>
      </c>
      <c r="I252" s="106" t="s">
        <v>1473</v>
      </c>
      <c r="J252" s="106"/>
      <c r="K252" s="174" t="s">
        <v>1474</v>
      </c>
      <c r="L252" s="51"/>
      <c r="M252" s="51"/>
      <c r="N252" s="82"/>
      <c r="O252" s="90" t="s">
        <v>825</v>
      </c>
      <c r="P252" s="82"/>
      <c r="Q252" s="3"/>
    </row>
    <row r="253" spans="1:17" ht="16.5">
      <c r="B253" s="7"/>
      <c r="C253" s="7"/>
      <c r="D253" s="7"/>
      <c r="E253" s="7"/>
      <c r="F253" s="7"/>
      <c r="G253" s="7"/>
      <c r="H253" s="7"/>
      <c r="I253" s="109" t="s">
        <v>1475</v>
      </c>
      <c r="J253" s="113" t="s">
        <v>1476</v>
      </c>
      <c r="K253" s="114"/>
    </row>
    <row r="254" spans="1:17" ht="16.5">
      <c r="B254" s="7"/>
      <c r="C254" s="7"/>
      <c r="D254" s="7"/>
      <c r="E254" s="7"/>
      <c r="F254" s="7"/>
      <c r="G254" s="7"/>
      <c r="H254" s="7"/>
      <c r="I254" s="109" t="s">
        <v>1477</v>
      </c>
      <c r="J254" s="113" t="s">
        <v>1478</v>
      </c>
      <c r="K254" s="114" t="s">
        <v>1479</v>
      </c>
    </row>
    <row r="255" spans="1:17" ht="16.5">
      <c r="A255" t="s">
        <v>828</v>
      </c>
      <c r="B255" s="7"/>
      <c r="C255" s="7"/>
      <c r="D255" s="7"/>
      <c r="E255" s="61" t="s">
        <v>823</v>
      </c>
      <c r="F255" s="61" t="s">
        <v>823</v>
      </c>
      <c r="G255" s="117" t="s">
        <v>559</v>
      </c>
      <c r="H255" s="161"/>
      <c r="I255" s="178" t="s">
        <v>1480</v>
      </c>
      <c r="J255" s="179" t="s">
        <v>1481</v>
      </c>
      <c r="K255" s="181" t="s">
        <v>1482</v>
      </c>
      <c r="L255" s="23"/>
      <c r="M255" s="23" t="s">
        <v>1483</v>
      </c>
      <c r="N255" s="36"/>
      <c r="P255" s="36"/>
    </row>
    <row r="256" spans="1:17" ht="16.5" customHeight="1">
      <c r="B256" s="7"/>
      <c r="C256" s="7"/>
      <c r="D256" s="7"/>
      <c r="E256" s="7"/>
      <c r="F256" s="7"/>
      <c r="G256" s="7"/>
      <c r="H256" s="7"/>
      <c r="I256" s="109" t="s">
        <v>1484</v>
      </c>
      <c r="J256" s="109" t="s">
        <v>1485</v>
      </c>
      <c r="K256" s="116"/>
    </row>
    <row r="257" spans="1:17" ht="16.5" customHeight="1">
      <c r="B257" s="7"/>
      <c r="C257" s="7"/>
      <c r="D257" s="7"/>
      <c r="E257" s="7"/>
      <c r="F257" s="7"/>
      <c r="G257" s="7"/>
      <c r="H257" s="7"/>
      <c r="I257" s="109" t="s">
        <v>1486</v>
      </c>
      <c r="J257" s="113" t="s">
        <v>1487</v>
      </c>
      <c r="K257" s="114" t="s">
        <v>1488</v>
      </c>
    </row>
    <row r="258" spans="1:17" ht="16.5">
      <c r="B258" s="7"/>
      <c r="C258" s="7"/>
      <c r="D258" s="7"/>
      <c r="E258" s="7"/>
      <c r="F258" s="7"/>
      <c r="G258" s="7"/>
      <c r="H258" s="7"/>
      <c r="I258" s="109" t="s">
        <v>1489</v>
      </c>
      <c r="J258" s="113"/>
      <c r="K258" s="114"/>
    </row>
    <row r="259" spans="1:17" ht="16.5">
      <c r="A259" t="s">
        <v>828</v>
      </c>
      <c r="B259" s="7"/>
      <c r="C259" s="7" t="s">
        <v>854</v>
      </c>
      <c r="D259" s="7"/>
      <c r="E259" s="61" t="s">
        <v>823</v>
      </c>
      <c r="F259" s="61" t="s">
        <v>823</v>
      </c>
      <c r="G259" s="117" t="s">
        <v>559</v>
      </c>
      <c r="H259" s="161"/>
      <c r="I259" s="175" t="s">
        <v>1490</v>
      </c>
      <c r="J259" s="179" t="s">
        <v>1481</v>
      </c>
      <c r="K259" s="74" t="s">
        <v>1491</v>
      </c>
      <c r="L259" s="182" t="s">
        <v>1492</v>
      </c>
      <c r="M259" s="182" t="s">
        <v>1493</v>
      </c>
      <c r="N259" s="84" t="s">
        <v>1494</v>
      </c>
      <c r="P259" s="36"/>
    </row>
    <row r="260" spans="1:17" ht="16.5">
      <c r="B260" s="7"/>
      <c r="C260" s="7"/>
      <c r="D260" s="7"/>
      <c r="E260" s="7"/>
      <c r="F260" s="7"/>
      <c r="G260" s="7"/>
      <c r="H260" s="7"/>
      <c r="I260" s="109" t="s">
        <v>1495</v>
      </c>
      <c r="J260" s="252" t="s">
        <v>559</v>
      </c>
      <c r="K260" s="114" t="s">
        <v>1496</v>
      </c>
    </row>
    <row r="261" spans="1:17" ht="18" customHeight="1">
      <c r="A261" t="s">
        <v>828</v>
      </c>
      <c r="B261" s="7"/>
      <c r="C261" s="7" t="s">
        <v>825</v>
      </c>
      <c r="D261" s="7"/>
      <c r="E261" s="61" t="s">
        <v>823</v>
      </c>
      <c r="F261" s="61" t="s">
        <v>823</v>
      </c>
      <c r="G261" s="161"/>
      <c r="H261" s="161"/>
      <c r="I261" s="178" t="s">
        <v>1497</v>
      </c>
      <c r="J261" s="184" t="s">
        <v>559</v>
      </c>
      <c r="K261" s="185"/>
      <c r="L261" s="186"/>
      <c r="M261" s="23"/>
      <c r="N261" s="36"/>
      <c r="O261" s="92" t="s">
        <v>825</v>
      </c>
      <c r="P261" s="36"/>
    </row>
    <row r="262" spans="1:17" ht="18" customHeight="1">
      <c r="B262" s="7"/>
      <c r="C262" s="7"/>
      <c r="D262" s="7"/>
      <c r="E262" s="7" t="s">
        <v>964</v>
      </c>
      <c r="F262" s="7"/>
      <c r="G262" s="7"/>
      <c r="H262" s="7"/>
      <c r="I262" s="10" t="s">
        <v>1498</v>
      </c>
      <c r="J262" s="5"/>
      <c r="K262" s="114"/>
    </row>
    <row r="263" spans="1:17" ht="18" customHeight="1">
      <c r="B263" s="7"/>
      <c r="C263" s="7"/>
      <c r="D263" s="7"/>
      <c r="E263" s="7"/>
      <c r="F263" s="7"/>
      <c r="G263" s="7"/>
      <c r="H263" s="7"/>
      <c r="I263" s="109" t="s">
        <v>1499</v>
      </c>
      <c r="J263" s="252" t="s">
        <v>559</v>
      </c>
      <c r="K263" s="114"/>
    </row>
    <row r="264" spans="1:17" ht="18" customHeight="1">
      <c r="B264" s="7"/>
      <c r="C264" s="7"/>
      <c r="D264" s="7"/>
      <c r="E264" s="7"/>
      <c r="F264" s="7"/>
      <c r="G264" s="7"/>
      <c r="H264" s="7"/>
      <c r="I264" s="109" t="s">
        <v>1500</v>
      </c>
      <c r="J264" s="252" t="s">
        <v>559</v>
      </c>
      <c r="K264" s="114"/>
    </row>
    <row r="265" spans="1:17" ht="18" customHeight="1">
      <c r="B265" s="7"/>
      <c r="C265" s="7" t="s">
        <v>1393</v>
      </c>
      <c r="D265" s="7"/>
      <c r="E265" s="7" t="s">
        <v>1501</v>
      </c>
      <c r="F265" s="7"/>
      <c r="G265" s="7"/>
      <c r="H265" s="7"/>
      <c r="I265" s="110" t="s">
        <v>1502</v>
      </c>
      <c r="J265" s="111"/>
      <c r="K265" s="119" t="s">
        <v>1503</v>
      </c>
    </row>
    <row r="266" spans="1:17" ht="18" customHeight="1">
      <c r="A266" t="s">
        <v>828</v>
      </c>
      <c r="B266" s="7"/>
      <c r="C266" s="7" t="s">
        <v>825</v>
      </c>
      <c r="D266" s="7"/>
      <c r="E266" s="61" t="s">
        <v>823</v>
      </c>
      <c r="F266" s="61" t="s">
        <v>823</v>
      </c>
      <c r="G266" s="117" t="s">
        <v>559</v>
      </c>
      <c r="H266" s="161"/>
      <c r="I266" s="178" t="s">
        <v>1504</v>
      </c>
      <c r="J266" s="184" t="s">
        <v>559</v>
      </c>
      <c r="K266" s="185"/>
      <c r="L266" s="186"/>
      <c r="M266" s="23"/>
      <c r="N266" s="36"/>
      <c r="O266" s="92" t="s">
        <v>825</v>
      </c>
      <c r="P266" s="36"/>
    </row>
    <row r="267" spans="1:17" ht="16.5">
      <c r="B267" s="7"/>
      <c r="C267" s="7"/>
      <c r="D267" s="7"/>
      <c r="E267" s="7" t="s">
        <v>964</v>
      </c>
      <c r="F267" s="7"/>
      <c r="G267" s="7"/>
      <c r="H267" s="7"/>
      <c r="I267" s="109" t="s">
        <v>1505</v>
      </c>
      <c r="J267" s="187" t="s">
        <v>1506</v>
      </c>
      <c r="K267" s="114"/>
    </row>
    <row r="268" spans="1:17" ht="18" customHeight="1">
      <c r="B268" s="7"/>
      <c r="C268" s="7"/>
      <c r="D268" s="7"/>
      <c r="E268" s="7"/>
      <c r="F268" s="7"/>
      <c r="G268" s="7"/>
      <c r="H268" s="7"/>
      <c r="I268" s="109" t="s">
        <v>1507</v>
      </c>
      <c r="J268" s="118">
        <v>43504</v>
      </c>
      <c r="K268" s="114" t="s">
        <v>1508</v>
      </c>
    </row>
    <row r="269" spans="1:17" ht="18" customHeight="1">
      <c r="B269" s="7"/>
      <c r="C269" s="7"/>
      <c r="D269" s="7" t="s">
        <v>943</v>
      </c>
      <c r="E269" s="112"/>
      <c r="F269" s="112"/>
      <c r="G269" s="112"/>
      <c r="H269" s="112"/>
      <c r="I269" s="109" t="s">
        <v>1509</v>
      </c>
      <c r="J269" s="113"/>
      <c r="K269" s="114" t="s">
        <v>1510</v>
      </c>
    </row>
    <row r="270" spans="1:17" ht="18" customHeight="1">
      <c r="B270" s="7"/>
      <c r="C270" s="7"/>
      <c r="D270" s="7"/>
      <c r="E270" s="7"/>
      <c r="F270" s="7"/>
      <c r="G270" s="7"/>
      <c r="H270" s="7"/>
      <c r="I270" s="109" t="s">
        <v>1511</v>
      </c>
      <c r="J270" s="113"/>
      <c r="K270" s="114" t="s">
        <v>1512</v>
      </c>
    </row>
    <row r="271" spans="1:17" ht="18" customHeight="1">
      <c r="A271" t="s">
        <v>828</v>
      </c>
      <c r="B271" s="7" t="s">
        <v>821</v>
      </c>
      <c r="C271" s="7"/>
      <c r="D271" s="7"/>
      <c r="E271" s="7" t="s">
        <v>826</v>
      </c>
      <c r="F271" s="7"/>
      <c r="G271" s="7"/>
      <c r="H271" s="7"/>
      <c r="I271" s="10" t="s">
        <v>1513</v>
      </c>
      <c r="J271" s="5" t="s">
        <v>1514</v>
      </c>
      <c r="K271" s="114"/>
    </row>
    <row r="272" spans="1:17" ht="18" customHeight="1">
      <c r="A272" t="s">
        <v>828</v>
      </c>
      <c r="B272" s="7"/>
      <c r="C272" s="7"/>
      <c r="D272" s="7"/>
      <c r="E272" s="61" t="s">
        <v>823</v>
      </c>
      <c r="F272" s="61" t="s">
        <v>823</v>
      </c>
      <c r="G272" s="104"/>
      <c r="H272" s="105">
        <f>H271+1</f>
        <v>1</v>
      </c>
      <c r="I272" s="106" t="s">
        <v>1515</v>
      </c>
      <c r="J272" s="68" t="s">
        <v>1516</v>
      </c>
      <c r="K272" s="174" t="s">
        <v>1517</v>
      </c>
      <c r="L272" s="51"/>
      <c r="M272" s="188" t="s">
        <v>1518</v>
      </c>
      <c r="N272" s="82"/>
      <c r="O272" s="90" t="s">
        <v>825</v>
      </c>
      <c r="P272" s="82"/>
      <c r="Q272" s="3"/>
    </row>
    <row r="273" spans="1:17" ht="16.5">
      <c r="B273" s="7"/>
      <c r="C273" s="7" t="s">
        <v>825</v>
      </c>
      <c r="D273" s="120"/>
      <c r="E273" s="7"/>
      <c r="F273" s="7"/>
      <c r="G273" s="7"/>
      <c r="H273" s="7"/>
      <c r="I273" s="109" t="s">
        <v>1519</v>
      </c>
      <c r="J273" s="16" t="s">
        <v>1516</v>
      </c>
      <c r="K273" s="173" t="s">
        <v>1520</v>
      </c>
    </row>
    <row r="274" spans="1:17" ht="18" customHeight="1">
      <c r="B274" s="7"/>
      <c r="C274" s="7"/>
      <c r="D274" s="7"/>
      <c r="E274" s="7"/>
      <c r="F274" s="7"/>
      <c r="G274" s="7"/>
      <c r="H274" s="7"/>
      <c r="I274" s="109" t="s">
        <v>1521</v>
      </c>
      <c r="J274" s="113"/>
      <c r="K274" s="114"/>
    </row>
    <row r="275" spans="1:17" ht="18" customHeight="1">
      <c r="B275" s="7"/>
      <c r="C275" s="7"/>
      <c r="D275" s="7"/>
      <c r="E275" s="7"/>
      <c r="F275" s="7"/>
      <c r="G275" s="7"/>
      <c r="H275" s="7"/>
      <c r="I275" s="109" t="s">
        <v>1522</v>
      </c>
      <c r="J275" s="5" t="s">
        <v>1523</v>
      </c>
      <c r="K275" s="114" t="s">
        <v>1524</v>
      </c>
    </row>
    <row r="276" spans="1:17" ht="18" customHeight="1">
      <c r="B276" s="7" t="s">
        <v>821</v>
      </c>
      <c r="C276" s="7"/>
      <c r="D276" s="7"/>
      <c r="E276" s="7"/>
      <c r="F276" s="7"/>
      <c r="G276" s="7"/>
      <c r="H276" s="7"/>
      <c r="I276" s="109" t="s">
        <v>1525</v>
      </c>
      <c r="J276" s="113"/>
      <c r="K276" s="119" t="s">
        <v>1526</v>
      </c>
    </row>
    <row r="277" spans="1:17" ht="18" customHeight="1">
      <c r="A277" t="s">
        <v>828</v>
      </c>
      <c r="B277" s="7" t="s">
        <v>1006</v>
      </c>
      <c r="C277" s="7" t="s">
        <v>854</v>
      </c>
      <c r="D277" s="7"/>
      <c r="E277" s="61" t="s">
        <v>823</v>
      </c>
      <c r="F277" s="61" t="s">
        <v>823</v>
      </c>
      <c r="G277" s="104"/>
      <c r="H277" s="105" t="e">
        <f>#REF!+1</f>
        <v>#REF!</v>
      </c>
      <c r="I277" s="106" t="s">
        <v>1527</v>
      </c>
      <c r="J277" s="68" t="s">
        <v>1528</v>
      </c>
      <c r="K277" s="174" t="s">
        <v>1529</v>
      </c>
      <c r="L277" s="51"/>
      <c r="M277" s="188" t="s">
        <v>1530</v>
      </c>
      <c r="N277" s="88" t="s">
        <v>1531</v>
      </c>
      <c r="O277" s="90" t="s">
        <v>854</v>
      </c>
      <c r="P277" s="82" t="s">
        <v>1006</v>
      </c>
      <c r="Q277" s="3"/>
    </row>
    <row r="278" spans="1:17" ht="18" customHeight="1">
      <c r="A278" t="s">
        <v>828</v>
      </c>
      <c r="B278" s="7"/>
      <c r="C278" s="120" t="s">
        <v>825</v>
      </c>
      <c r="D278" s="7"/>
      <c r="E278" s="61" t="s">
        <v>823</v>
      </c>
      <c r="F278" s="61" t="s">
        <v>823</v>
      </c>
      <c r="G278" s="104"/>
      <c r="H278" s="105" t="e">
        <f>#REF!+1</f>
        <v>#REF!</v>
      </c>
      <c r="I278" s="106" t="s">
        <v>1532</v>
      </c>
      <c r="J278" s="106"/>
      <c r="K278" s="174" t="s">
        <v>1533</v>
      </c>
      <c r="L278" s="59" t="s">
        <v>1534</v>
      </c>
      <c r="M278" s="188" t="s">
        <v>1535</v>
      </c>
      <c r="N278" s="82" t="s">
        <v>1536</v>
      </c>
      <c r="O278" s="82" t="s">
        <v>825</v>
      </c>
      <c r="P278" s="82"/>
      <c r="Q278" s="3"/>
    </row>
    <row r="279" spans="1:17" ht="18" customHeight="1">
      <c r="A279" t="s">
        <v>828</v>
      </c>
      <c r="B279" s="7" t="s">
        <v>1006</v>
      </c>
      <c r="C279" s="7" t="s">
        <v>825</v>
      </c>
      <c r="D279" s="7"/>
      <c r="E279" s="61" t="s">
        <v>823</v>
      </c>
      <c r="F279" s="61" t="s">
        <v>823</v>
      </c>
      <c r="G279" s="104"/>
      <c r="H279" s="105" t="e">
        <f>#REF!+1</f>
        <v>#REF!</v>
      </c>
      <c r="I279" s="139" t="s">
        <v>1537</v>
      </c>
      <c r="J279" s="104"/>
      <c r="K279" s="73" t="s">
        <v>1538</v>
      </c>
      <c r="L279" s="59"/>
      <c r="M279" s="51"/>
      <c r="N279" s="82"/>
      <c r="O279" s="90" t="s">
        <v>825</v>
      </c>
      <c r="P279" s="82" t="s">
        <v>1006</v>
      </c>
      <c r="Q279" s="3" t="s">
        <v>1007</v>
      </c>
    </row>
    <row r="280" spans="1:17" ht="18" customHeight="1">
      <c r="B280" s="7"/>
      <c r="C280" s="7"/>
      <c r="D280" s="7"/>
      <c r="E280" s="7"/>
      <c r="F280" s="7"/>
      <c r="G280" s="7"/>
      <c r="H280" s="7"/>
      <c r="I280" s="109" t="s">
        <v>1539</v>
      </c>
      <c r="J280" s="113"/>
      <c r="K280" s="114"/>
    </row>
    <row r="281" spans="1:17" ht="18" customHeight="1">
      <c r="B281" s="7"/>
      <c r="C281" s="7"/>
      <c r="D281" s="7"/>
      <c r="E281" s="7"/>
      <c r="F281" s="7"/>
      <c r="G281" s="7"/>
      <c r="H281" s="7"/>
      <c r="I281" s="109" t="s">
        <v>1540</v>
      </c>
      <c r="J281" s="118">
        <v>44995</v>
      </c>
      <c r="K281" s="114" t="s">
        <v>1541</v>
      </c>
    </row>
    <row r="282" spans="1:17" ht="18" customHeight="1">
      <c r="A282" t="s">
        <v>828</v>
      </c>
      <c r="B282" s="7"/>
      <c r="C282" s="7" t="s">
        <v>825</v>
      </c>
      <c r="D282" s="7"/>
      <c r="E282" s="61" t="s">
        <v>823</v>
      </c>
      <c r="F282" s="61" t="s">
        <v>823</v>
      </c>
      <c r="G282" s="104"/>
      <c r="H282" s="105" t="e">
        <f>#REF!+1</f>
        <v>#REF!</v>
      </c>
      <c r="I282" s="106" t="s">
        <v>1542</v>
      </c>
      <c r="J282" s="106"/>
      <c r="K282" s="174" t="s">
        <v>1543</v>
      </c>
      <c r="L282" s="51"/>
      <c r="M282" s="188" t="s">
        <v>1544</v>
      </c>
      <c r="N282" s="82" t="s">
        <v>1536</v>
      </c>
      <c r="O282" s="90" t="s">
        <v>825</v>
      </c>
      <c r="P282" s="82"/>
      <c r="Q282" s="3"/>
    </row>
    <row r="283" spans="1:17" ht="18" customHeight="1">
      <c r="A283" t="s">
        <v>828</v>
      </c>
      <c r="B283" s="7" t="s">
        <v>1545</v>
      </c>
      <c r="C283" s="7"/>
      <c r="D283" s="7"/>
      <c r="E283" s="61" t="s">
        <v>823</v>
      </c>
      <c r="F283" s="61" t="s">
        <v>823</v>
      </c>
      <c r="G283" s="104" t="s">
        <v>910</v>
      </c>
      <c r="H283" s="105" t="e">
        <f>#REF!+1</f>
        <v>#REF!</v>
      </c>
      <c r="I283" s="124" t="s">
        <v>1546</v>
      </c>
      <c r="J283" s="122"/>
      <c r="K283" s="108" t="s">
        <v>1547</v>
      </c>
      <c r="L283" s="59"/>
      <c r="M283" s="51" t="s">
        <v>1548</v>
      </c>
      <c r="N283" s="82"/>
      <c r="O283" s="90"/>
      <c r="P283" s="82"/>
      <c r="Q283" s="3"/>
    </row>
    <row r="284" spans="1:17" ht="18" customHeight="1">
      <c r="B284" s="7"/>
      <c r="C284" s="7"/>
      <c r="D284" s="7"/>
      <c r="E284" s="7"/>
      <c r="F284" s="7"/>
      <c r="G284" s="7"/>
      <c r="H284" s="7"/>
      <c r="I284" s="109" t="s">
        <v>1549</v>
      </c>
      <c r="J284" s="131" t="s">
        <v>1550</v>
      </c>
      <c r="K284" s="114" t="s">
        <v>1551</v>
      </c>
    </row>
    <row r="285" spans="1:17" ht="18" customHeight="1">
      <c r="B285" s="7" t="s">
        <v>821</v>
      </c>
      <c r="C285" s="7"/>
      <c r="D285" s="7"/>
      <c r="E285" s="7" t="s">
        <v>965</v>
      </c>
      <c r="F285" s="7"/>
      <c r="G285" s="7"/>
      <c r="H285" s="7"/>
      <c r="I285" s="109" t="s">
        <v>1552</v>
      </c>
      <c r="J285" s="113"/>
      <c r="K285" s="114"/>
    </row>
    <row r="286" spans="1:17" ht="16.5">
      <c r="B286" s="7"/>
      <c r="C286" s="7"/>
      <c r="D286" s="7"/>
      <c r="E286" s="7" t="s">
        <v>965</v>
      </c>
      <c r="F286" s="7"/>
      <c r="G286" s="7"/>
      <c r="H286" s="7"/>
      <c r="I286" s="109" t="s">
        <v>1553</v>
      </c>
      <c r="J286" s="5"/>
      <c r="K286" s="114"/>
    </row>
    <row r="287" spans="1:17" ht="18" customHeight="1">
      <c r="A287" t="s">
        <v>1361</v>
      </c>
      <c r="B287" s="7"/>
      <c r="C287" s="7" t="s">
        <v>1554</v>
      </c>
      <c r="D287" s="7"/>
      <c r="E287" s="7" t="s">
        <v>833</v>
      </c>
      <c r="F287" s="7"/>
      <c r="G287" s="7"/>
      <c r="H287" s="7"/>
      <c r="I287" s="10" t="s">
        <v>1555</v>
      </c>
      <c r="J287" s="5"/>
      <c r="K287" s="114"/>
    </row>
    <row r="288" spans="1:17" ht="18" customHeight="1">
      <c r="A288" t="s">
        <v>828</v>
      </c>
      <c r="B288" s="7"/>
      <c r="C288" s="120" t="s">
        <v>854</v>
      </c>
      <c r="D288" s="7"/>
      <c r="E288" s="61" t="s">
        <v>823</v>
      </c>
      <c r="F288" s="61" t="s">
        <v>823</v>
      </c>
      <c r="G288" s="104"/>
      <c r="H288" s="105" t="e">
        <f>#REF!+1</f>
        <v>#REF!</v>
      </c>
      <c r="I288" s="106" t="s">
        <v>1556</v>
      </c>
      <c r="J288" s="189"/>
      <c r="K288" s="149" t="s">
        <v>1557</v>
      </c>
      <c r="L288" s="51"/>
      <c r="M288" s="51" t="s">
        <v>1558</v>
      </c>
      <c r="N288" s="82"/>
      <c r="O288" s="82" t="s">
        <v>854</v>
      </c>
      <c r="P288" s="82"/>
      <c r="Q288" s="3"/>
    </row>
    <row r="289" spans="1:13" ht="18" customHeight="1">
      <c r="B289" s="7"/>
      <c r="C289" s="7"/>
      <c r="D289" s="7"/>
      <c r="E289" s="7"/>
      <c r="F289" s="7"/>
      <c r="G289" s="7"/>
      <c r="H289" s="7"/>
      <c r="I289" s="109" t="s">
        <v>1559</v>
      </c>
      <c r="J289" s="118">
        <v>43472</v>
      </c>
      <c r="K289" s="114" t="s">
        <v>1061</v>
      </c>
    </row>
    <row r="290" spans="1:13" ht="18" customHeight="1">
      <c r="B290" s="7" t="s">
        <v>850</v>
      </c>
      <c r="C290" s="7" t="s">
        <v>822</v>
      </c>
      <c r="D290" s="7"/>
      <c r="E290" s="7"/>
      <c r="F290" s="7"/>
      <c r="G290" s="7"/>
      <c r="H290" s="7"/>
      <c r="I290" s="109" t="s">
        <v>1560</v>
      </c>
      <c r="J290" s="113"/>
      <c r="K290" s="114" t="s">
        <v>1561</v>
      </c>
    </row>
    <row r="291" spans="1:13" ht="18" customHeight="1">
      <c r="B291" s="7"/>
      <c r="C291" s="7"/>
      <c r="D291" s="7"/>
      <c r="E291" s="7"/>
      <c r="F291" s="7"/>
      <c r="G291" s="117" t="s">
        <v>559</v>
      </c>
      <c r="H291" s="7"/>
      <c r="I291" s="109" t="s">
        <v>1562</v>
      </c>
      <c r="J291" s="113"/>
      <c r="K291" s="114"/>
    </row>
    <row r="292" spans="1:13" ht="18" customHeight="1">
      <c r="B292" s="7" t="s">
        <v>821</v>
      </c>
      <c r="C292" s="7"/>
      <c r="D292" s="7"/>
      <c r="E292" s="7" t="s">
        <v>964</v>
      </c>
      <c r="F292" s="7"/>
      <c r="G292" s="7"/>
      <c r="H292" s="7"/>
      <c r="I292" s="109" t="s">
        <v>1563</v>
      </c>
      <c r="J292" s="109" t="s">
        <v>1564</v>
      </c>
      <c r="K292" s="116"/>
    </row>
    <row r="293" spans="1:13" ht="18" customHeight="1">
      <c r="B293" s="7"/>
      <c r="C293" s="7"/>
      <c r="D293" s="7"/>
      <c r="E293" s="7"/>
      <c r="F293" s="7"/>
      <c r="G293" s="7"/>
      <c r="H293" s="7"/>
      <c r="I293" s="109" t="s">
        <v>1565</v>
      </c>
      <c r="J293" s="113"/>
      <c r="K293" s="114" t="s">
        <v>1566</v>
      </c>
    </row>
    <row r="294" spans="1:13" ht="16.5" customHeight="1">
      <c r="B294" s="7"/>
      <c r="C294" s="7"/>
      <c r="D294" s="7"/>
      <c r="E294" s="7"/>
      <c r="F294" s="7"/>
      <c r="G294" s="7"/>
      <c r="H294" s="7"/>
      <c r="I294" s="109" t="s">
        <v>1567</v>
      </c>
      <c r="J294" s="131" t="s">
        <v>1568</v>
      </c>
      <c r="K294" s="116" t="s">
        <v>1569</v>
      </c>
    </row>
    <row r="295" spans="1:13" ht="18" customHeight="1">
      <c r="B295" s="7"/>
      <c r="C295" s="7" t="s">
        <v>829</v>
      </c>
      <c r="D295" s="7"/>
      <c r="E295" s="7"/>
      <c r="F295" s="7"/>
      <c r="G295" s="7"/>
      <c r="H295" s="7"/>
      <c r="I295" s="109" t="s">
        <v>1570</v>
      </c>
      <c r="J295" s="109" t="s">
        <v>1571</v>
      </c>
      <c r="K295" s="114" t="s">
        <v>1572</v>
      </c>
    </row>
    <row r="296" spans="1:13" ht="18" customHeight="1">
      <c r="B296" s="7"/>
      <c r="C296" s="7"/>
      <c r="D296" s="7"/>
      <c r="E296" s="7"/>
      <c r="F296" s="7"/>
      <c r="G296" s="7"/>
      <c r="H296" s="7"/>
      <c r="I296" s="109" t="s">
        <v>1573</v>
      </c>
      <c r="J296" s="118">
        <v>43523</v>
      </c>
      <c r="K296" s="114" t="s">
        <v>1061</v>
      </c>
    </row>
    <row r="297" spans="1:13" ht="18" customHeight="1">
      <c r="B297" s="7"/>
      <c r="C297" s="7"/>
      <c r="D297" s="7"/>
      <c r="E297" s="7" t="s">
        <v>1574</v>
      </c>
      <c r="F297" s="7"/>
      <c r="G297" s="7"/>
      <c r="H297" s="7"/>
      <c r="I297" s="109" t="s">
        <v>1575</v>
      </c>
      <c r="J297" s="131" t="s">
        <v>1576</v>
      </c>
      <c r="K297" s="114" t="s">
        <v>1577</v>
      </c>
    </row>
    <row r="298" spans="1:13" ht="18" customHeight="1">
      <c r="B298" s="7"/>
      <c r="C298" s="7"/>
      <c r="D298" s="7"/>
      <c r="E298" s="7"/>
      <c r="F298" s="7"/>
      <c r="G298" s="7"/>
      <c r="H298" s="7"/>
      <c r="I298" s="109" t="s">
        <v>1578</v>
      </c>
      <c r="J298" s="131" t="s">
        <v>1576</v>
      </c>
      <c r="K298" s="116" t="s">
        <v>1579</v>
      </c>
    </row>
    <row r="299" spans="1:13" ht="18" customHeight="1">
      <c r="B299" s="7"/>
      <c r="C299" s="7"/>
      <c r="D299" s="7"/>
      <c r="E299" s="7" t="s">
        <v>1351</v>
      </c>
      <c r="F299" s="7"/>
      <c r="G299" s="7"/>
      <c r="H299" s="7"/>
      <c r="I299" s="109" t="s">
        <v>1580</v>
      </c>
      <c r="J299" s="109" t="s">
        <v>1581</v>
      </c>
      <c r="K299" s="20" t="s">
        <v>1582</v>
      </c>
    </row>
    <row r="300" spans="1:13" ht="18" customHeight="1">
      <c r="B300" s="7"/>
      <c r="C300" s="7"/>
      <c r="D300" s="7"/>
      <c r="E300" s="7"/>
      <c r="F300" s="7"/>
      <c r="G300" s="7"/>
      <c r="H300" s="7"/>
      <c r="I300" s="109" t="s">
        <v>1583</v>
      </c>
      <c r="J300" s="113"/>
      <c r="K300" s="114"/>
    </row>
    <row r="301" spans="1:13" ht="18" customHeight="1">
      <c r="B301" s="7"/>
      <c r="C301" s="7"/>
      <c r="D301" s="7"/>
      <c r="E301" s="7"/>
      <c r="F301" s="7"/>
      <c r="G301" s="7"/>
      <c r="H301" s="7"/>
      <c r="I301" s="109" t="s">
        <v>1584</v>
      </c>
      <c r="J301" s="118">
        <v>43481</v>
      </c>
      <c r="K301" s="114" t="s">
        <v>1061</v>
      </c>
    </row>
    <row r="302" spans="1:13" ht="18" customHeight="1">
      <c r="A302" t="s">
        <v>1361</v>
      </c>
      <c r="B302" s="7" t="s">
        <v>850</v>
      </c>
      <c r="C302" s="7" t="s">
        <v>822</v>
      </c>
      <c r="D302" s="7"/>
      <c r="E302" s="7" t="s">
        <v>964</v>
      </c>
      <c r="F302" s="7"/>
      <c r="G302" s="7"/>
      <c r="H302" s="7"/>
      <c r="I302" s="109" t="s">
        <v>1585</v>
      </c>
      <c r="J302" s="113" t="s">
        <v>1586</v>
      </c>
      <c r="K302" s="114" t="s">
        <v>1587</v>
      </c>
    </row>
    <row r="303" spans="1:13" ht="18" customHeight="1">
      <c r="B303" s="7"/>
      <c r="C303" s="7"/>
      <c r="D303" s="7"/>
      <c r="E303" s="7"/>
      <c r="F303" s="7"/>
      <c r="G303" s="7"/>
      <c r="H303" s="7"/>
      <c r="I303" s="109" t="s">
        <v>1588</v>
      </c>
      <c r="J303" s="113"/>
      <c r="K303" s="114" t="s">
        <v>1589</v>
      </c>
    </row>
    <row r="304" spans="1:13" ht="18" customHeight="1">
      <c r="A304" t="s">
        <v>828</v>
      </c>
      <c r="B304" s="7" t="s">
        <v>881</v>
      </c>
      <c r="C304" s="7" t="s">
        <v>3</v>
      </c>
      <c r="D304" s="7"/>
      <c r="E304" s="62" t="s">
        <v>965</v>
      </c>
      <c r="F304" s="62" t="s">
        <v>965</v>
      </c>
      <c r="G304" s="133">
        <v>45063</v>
      </c>
      <c r="H304" s="134">
        <v>7</v>
      </c>
      <c r="I304" s="135" t="s">
        <v>1590</v>
      </c>
      <c r="J304" s="150" t="s">
        <v>1591</v>
      </c>
      <c r="K304" s="137" t="s">
        <v>1592</v>
      </c>
      <c r="L304" s="44" t="s">
        <v>1593</v>
      </c>
      <c r="M304" s="45" t="s">
        <v>1594</v>
      </c>
    </row>
    <row r="305" spans="1:19" ht="16.5">
      <c r="A305" t="s">
        <v>828</v>
      </c>
      <c r="B305" s="7" t="s">
        <v>821</v>
      </c>
      <c r="C305" s="7" t="s">
        <v>856</v>
      </c>
      <c r="D305" s="7"/>
      <c r="E305" s="7" t="s">
        <v>818</v>
      </c>
      <c r="F305" s="7"/>
      <c r="G305" s="7"/>
      <c r="H305" s="7"/>
      <c r="I305" s="10" t="s">
        <v>1595</v>
      </c>
      <c r="J305" s="5" t="s">
        <v>1596</v>
      </c>
      <c r="K305" s="114" t="s">
        <v>1597</v>
      </c>
    </row>
    <row r="306" spans="1:19" ht="18" customHeight="1">
      <c r="B306" s="7"/>
      <c r="C306" s="7"/>
      <c r="D306" s="7"/>
      <c r="E306" s="7"/>
      <c r="F306" s="7"/>
      <c r="G306" s="7"/>
      <c r="H306" s="7"/>
      <c r="I306" s="110" t="s">
        <v>1598</v>
      </c>
      <c r="J306" s="111"/>
      <c r="K306" s="114"/>
    </row>
    <row r="307" spans="1:19" ht="18" customHeight="1">
      <c r="B307" s="7"/>
      <c r="C307" s="7"/>
      <c r="D307" s="7"/>
      <c r="E307" s="7"/>
      <c r="F307" s="7"/>
      <c r="G307" s="7"/>
      <c r="H307" s="7"/>
      <c r="I307" s="109" t="s">
        <v>1599</v>
      </c>
      <c r="J307" s="113"/>
      <c r="K307" s="114" t="s">
        <v>1455</v>
      </c>
    </row>
    <row r="308" spans="1:19" ht="16.5">
      <c r="B308" s="7" t="s">
        <v>821</v>
      </c>
      <c r="C308" s="7"/>
      <c r="D308" s="7"/>
      <c r="E308" s="7" t="s">
        <v>965</v>
      </c>
      <c r="F308" s="7"/>
      <c r="G308" s="7"/>
      <c r="H308" s="7"/>
      <c r="I308" s="110" t="s">
        <v>1600</v>
      </c>
      <c r="J308" s="146" t="s">
        <v>1601</v>
      </c>
      <c r="K308" s="114" t="s">
        <v>1602</v>
      </c>
    </row>
    <row r="309" spans="1:19" ht="16.5">
      <c r="B309" s="7" t="s">
        <v>821</v>
      </c>
      <c r="C309" s="7"/>
      <c r="D309" s="7"/>
      <c r="E309" s="7"/>
      <c r="F309" s="7"/>
      <c r="G309" s="7"/>
      <c r="H309" s="7"/>
      <c r="I309" s="109" t="s">
        <v>1603</v>
      </c>
      <c r="J309" s="113"/>
      <c r="K309" s="114" t="s">
        <v>1604</v>
      </c>
    </row>
    <row r="310" spans="1:19" ht="16.5">
      <c r="B310" s="7"/>
      <c r="C310" s="7" t="s">
        <v>825</v>
      </c>
      <c r="D310" s="120"/>
      <c r="E310" s="7"/>
      <c r="F310" s="7"/>
      <c r="G310" s="7"/>
      <c r="H310" s="7"/>
      <c r="I310" s="109" t="s">
        <v>1605</v>
      </c>
      <c r="J310" s="12" t="s">
        <v>1606</v>
      </c>
      <c r="K310" s="114" t="s">
        <v>1607</v>
      </c>
    </row>
    <row r="311" spans="1:19" ht="16.5">
      <c r="A311" t="s">
        <v>828</v>
      </c>
      <c r="B311" s="7"/>
      <c r="C311" s="7" t="s">
        <v>825</v>
      </c>
      <c r="D311" s="7"/>
      <c r="E311" s="61" t="s">
        <v>823</v>
      </c>
      <c r="F311" s="61" t="s">
        <v>823</v>
      </c>
      <c r="G311" s="104"/>
      <c r="H311" s="105" t="e">
        <f>#REF!+1</f>
        <v>#REF!</v>
      </c>
      <c r="I311" s="106" t="s">
        <v>1605</v>
      </c>
      <c r="J311" s="168" t="s">
        <v>1606</v>
      </c>
      <c r="K311" s="108" t="s">
        <v>1607</v>
      </c>
      <c r="L311" s="59" t="s">
        <v>1608</v>
      </c>
      <c r="M311" s="51" t="s">
        <v>1609</v>
      </c>
      <c r="N311" s="82"/>
      <c r="O311" s="90" t="s">
        <v>825</v>
      </c>
      <c r="P311" s="82"/>
      <c r="Q311" s="3"/>
    </row>
    <row r="312" spans="1:19" ht="16.5">
      <c r="B312" s="7"/>
      <c r="C312" s="7"/>
      <c r="D312" s="7"/>
      <c r="E312" s="7"/>
      <c r="F312" s="7"/>
      <c r="G312" s="117" t="s">
        <v>559</v>
      </c>
      <c r="H312" s="7"/>
      <c r="I312" s="109" t="s">
        <v>1610</v>
      </c>
      <c r="J312" s="113"/>
      <c r="K312" s="114"/>
    </row>
    <row r="313" spans="1:19" ht="16.5">
      <c r="B313" s="7"/>
      <c r="C313" s="7" t="s">
        <v>1611</v>
      </c>
      <c r="D313" s="120"/>
      <c r="E313" s="7"/>
      <c r="F313" s="7"/>
      <c r="G313" s="7"/>
      <c r="H313" s="7"/>
      <c r="I313" s="109" t="s">
        <v>1612</v>
      </c>
      <c r="J313" s="111" t="s">
        <v>1613</v>
      </c>
      <c r="K313" s="114"/>
    </row>
    <row r="314" spans="1:19" ht="16.5">
      <c r="A314" t="s">
        <v>828</v>
      </c>
      <c r="B314" s="7" t="s">
        <v>871</v>
      </c>
      <c r="C314" s="7"/>
      <c r="D314" s="7"/>
      <c r="E314" s="61" t="s">
        <v>823</v>
      </c>
      <c r="F314" s="61" t="s">
        <v>823</v>
      </c>
      <c r="G314" s="104" t="s">
        <v>910</v>
      </c>
      <c r="H314" s="105"/>
      <c r="I314" s="121" t="s">
        <v>1612</v>
      </c>
      <c r="J314" s="122" t="s">
        <v>1613</v>
      </c>
      <c r="K314" s="108"/>
      <c r="L314" s="59"/>
      <c r="M314" s="51" t="s">
        <v>1614</v>
      </c>
      <c r="N314" s="82"/>
      <c r="O314" s="90" t="s">
        <v>1611</v>
      </c>
      <c r="P314" s="82"/>
      <c r="Q314" s="3"/>
      <c r="S314" t="s">
        <v>878</v>
      </c>
    </row>
    <row r="315" spans="1:19" ht="16.5">
      <c r="A315" t="s">
        <v>1310</v>
      </c>
      <c r="B315" s="7"/>
      <c r="C315" s="7"/>
      <c r="D315" s="7"/>
      <c r="E315" s="7"/>
      <c r="F315" s="7"/>
      <c r="G315" s="7"/>
      <c r="H315" s="7"/>
      <c r="I315" s="109" t="s">
        <v>1615</v>
      </c>
      <c r="J315" s="113"/>
      <c r="K315" s="114" t="s">
        <v>1616</v>
      </c>
    </row>
    <row r="316" spans="1:19" ht="16.5">
      <c r="B316" s="7" t="s">
        <v>1006</v>
      </c>
      <c r="C316" s="7"/>
      <c r="D316" s="7"/>
      <c r="E316" s="7"/>
      <c r="F316" s="7"/>
      <c r="G316" s="7"/>
      <c r="H316" s="7"/>
      <c r="I316" s="109" t="s">
        <v>1617</v>
      </c>
      <c r="J316" s="113"/>
      <c r="K316" s="114" t="s">
        <v>1618</v>
      </c>
    </row>
    <row r="317" spans="1:19" ht="16.5">
      <c r="A317" t="s">
        <v>1342</v>
      </c>
      <c r="B317" s="7" t="s">
        <v>1006</v>
      </c>
      <c r="C317" s="7" t="s">
        <v>1051</v>
      </c>
      <c r="D317" s="7"/>
      <c r="E317" s="7" t="s">
        <v>964</v>
      </c>
      <c r="F317" s="7"/>
      <c r="G317" s="7"/>
      <c r="H317" s="7"/>
      <c r="I317" s="10" t="s">
        <v>1619</v>
      </c>
      <c r="J317" s="5"/>
      <c r="K317" s="114"/>
    </row>
    <row r="318" spans="1:19" ht="16.5">
      <c r="A318" t="s">
        <v>1361</v>
      </c>
      <c r="B318" s="7" t="s">
        <v>821</v>
      </c>
      <c r="C318" s="7" t="s">
        <v>822</v>
      </c>
      <c r="D318" s="7"/>
      <c r="E318" s="7" t="s">
        <v>964</v>
      </c>
      <c r="F318" s="7"/>
      <c r="G318" s="7"/>
      <c r="H318" s="7"/>
      <c r="I318" s="10" t="s">
        <v>1620</v>
      </c>
      <c r="J318" s="5"/>
      <c r="K318" s="114"/>
    </row>
    <row r="319" spans="1:19" ht="16.5">
      <c r="A319" t="s">
        <v>828</v>
      </c>
      <c r="B319" s="7" t="s">
        <v>892</v>
      </c>
      <c r="C319" s="7" t="s">
        <v>822</v>
      </c>
      <c r="D319" s="7"/>
      <c r="E319" s="7" t="s">
        <v>826</v>
      </c>
      <c r="F319" s="7"/>
      <c r="G319" s="7"/>
      <c r="H319" s="7"/>
      <c r="I319" s="109" t="s">
        <v>1621</v>
      </c>
      <c r="J319" s="113" t="s">
        <v>1622</v>
      </c>
      <c r="K319" s="114" t="s">
        <v>1623</v>
      </c>
      <c r="L319" t="s">
        <v>1624</v>
      </c>
    </row>
    <row r="320" spans="1:19" ht="16.5">
      <c r="A320" t="s">
        <v>828</v>
      </c>
      <c r="B320" s="7"/>
      <c r="C320" s="7" t="s">
        <v>829</v>
      </c>
      <c r="D320" s="7"/>
      <c r="E320" s="61" t="s">
        <v>823</v>
      </c>
      <c r="F320" s="61" t="s">
        <v>823</v>
      </c>
      <c r="G320" s="104"/>
      <c r="H320" s="105" t="e">
        <f>#REF!+1</f>
        <v>#REF!</v>
      </c>
      <c r="I320" s="106" t="s">
        <v>1625</v>
      </c>
      <c r="J320" s="107"/>
      <c r="K320" s="108"/>
      <c r="L320" s="59"/>
      <c r="M320" s="51"/>
      <c r="N320" s="82"/>
      <c r="O320" s="90" t="s">
        <v>829</v>
      </c>
      <c r="P320" s="82"/>
      <c r="Q320" s="3"/>
    </row>
    <row r="321" spans="1:17" ht="16.5">
      <c r="B321" s="7"/>
      <c r="C321" s="7"/>
      <c r="D321" s="7"/>
      <c r="E321" s="7"/>
      <c r="F321" s="7"/>
      <c r="G321" s="7"/>
      <c r="H321" s="7"/>
      <c r="I321" s="109" t="s">
        <v>1626</v>
      </c>
      <c r="J321" s="118">
        <v>43083</v>
      </c>
      <c r="K321" s="114" t="s">
        <v>1627</v>
      </c>
    </row>
    <row r="322" spans="1:17" ht="16.5">
      <c r="B322" s="7"/>
      <c r="C322" s="7"/>
      <c r="D322" s="7"/>
      <c r="E322" s="7"/>
      <c r="F322" s="7"/>
      <c r="G322" s="7"/>
      <c r="H322" s="7"/>
      <c r="I322" s="109" t="s">
        <v>1628</v>
      </c>
      <c r="J322" s="113"/>
      <c r="K322" s="114"/>
    </row>
    <row r="323" spans="1:17" ht="16.5">
      <c r="A323" t="s">
        <v>828</v>
      </c>
      <c r="B323" s="7" t="s">
        <v>1006</v>
      </c>
      <c r="C323" s="7" t="s">
        <v>854</v>
      </c>
      <c r="D323" s="7"/>
      <c r="E323" s="61" t="s">
        <v>823</v>
      </c>
      <c r="F323" s="61" t="s">
        <v>823</v>
      </c>
      <c r="G323" s="104"/>
      <c r="H323" s="105" t="e">
        <f>#REF!+1</f>
        <v>#REF!</v>
      </c>
      <c r="I323" s="124" t="s">
        <v>1629</v>
      </c>
      <c r="J323" s="66" t="s">
        <v>1630</v>
      </c>
      <c r="K323" s="114" t="s">
        <v>1631</v>
      </c>
      <c r="L323" s="59"/>
      <c r="M323" s="51"/>
      <c r="N323" s="82"/>
      <c r="O323" s="90" t="s">
        <v>854</v>
      </c>
      <c r="P323" s="82"/>
      <c r="Q323" s="3"/>
    </row>
    <row r="324" spans="1:17" ht="16.5">
      <c r="A324" t="s">
        <v>828</v>
      </c>
      <c r="B324" s="7"/>
      <c r="C324" s="7"/>
      <c r="D324" s="7"/>
      <c r="E324" s="61" t="s">
        <v>823</v>
      </c>
      <c r="F324" s="61" t="s">
        <v>823</v>
      </c>
      <c r="G324" s="104"/>
      <c r="H324" s="105"/>
      <c r="I324" s="121" t="s">
        <v>1632</v>
      </c>
      <c r="J324" s="123" t="s">
        <v>1633</v>
      </c>
      <c r="K324" s="140" t="s">
        <v>1634</v>
      </c>
      <c r="L324" s="59" t="s">
        <v>1635</v>
      </c>
      <c r="M324" s="51"/>
      <c r="N324" s="82"/>
      <c r="O324" s="90"/>
      <c r="P324" s="82"/>
      <c r="Q324" s="3"/>
    </row>
    <row r="325" spans="1:17" ht="18" customHeight="1">
      <c r="B325" s="7" t="s">
        <v>821</v>
      </c>
      <c r="C325" s="7"/>
      <c r="D325" s="7"/>
      <c r="E325" s="7" t="s">
        <v>1351</v>
      </c>
      <c r="F325" s="7"/>
      <c r="G325" s="7"/>
      <c r="H325" s="7"/>
      <c r="I325" s="113" t="s">
        <v>1636</v>
      </c>
      <c r="J325" s="10" t="s">
        <v>1637</v>
      </c>
      <c r="K325" s="132" t="s">
        <v>1638</v>
      </c>
    </row>
    <row r="326" spans="1:17" ht="16.5">
      <c r="A326" t="s">
        <v>828</v>
      </c>
      <c r="B326" s="7" t="s">
        <v>881</v>
      </c>
      <c r="C326" s="7" t="s">
        <v>3</v>
      </c>
      <c r="D326" s="7"/>
      <c r="E326" s="62" t="s">
        <v>965</v>
      </c>
      <c r="F326" s="62" t="s">
        <v>965</v>
      </c>
      <c r="G326" s="142" t="s">
        <v>3</v>
      </c>
      <c r="H326" s="134">
        <v>8</v>
      </c>
      <c r="I326" s="135" t="s">
        <v>1639</v>
      </c>
      <c r="J326" s="150" t="s">
        <v>1640</v>
      </c>
      <c r="K326" s="137" t="s">
        <v>1641</v>
      </c>
      <c r="L326" s="44"/>
      <c r="M326" s="44"/>
    </row>
    <row r="327" spans="1:17" ht="16.5">
      <c r="B327" s="7"/>
      <c r="C327" s="7"/>
      <c r="D327" s="7"/>
      <c r="E327" s="7"/>
      <c r="F327" s="7"/>
      <c r="G327" s="7"/>
      <c r="H327" s="7"/>
      <c r="I327" s="10" t="s">
        <v>1642</v>
      </c>
      <c r="J327" s="5"/>
      <c r="K327" s="114" t="s">
        <v>1643</v>
      </c>
    </row>
    <row r="328" spans="1:17" ht="16.5">
      <c r="B328" s="7"/>
      <c r="C328" s="7"/>
      <c r="D328" s="7"/>
      <c r="E328" s="7"/>
      <c r="F328" s="7"/>
      <c r="G328" s="7"/>
      <c r="H328" s="7"/>
      <c r="I328" s="109" t="s">
        <v>1644</v>
      </c>
      <c r="J328" s="113"/>
      <c r="K328" s="114" t="s">
        <v>1645</v>
      </c>
    </row>
    <row r="329" spans="1:17" ht="18" customHeight="1">
      <c r="B329" s="7" t="s">
        <v>821</v>
      </c>
      <c r="C329" s="7"/>
      <c r="D329" s="7"/>
      <c r="E329" s="7"/>
      <c r="F329" s="7"/>
      <c r="G329" s="7"/>
      <c r="H329" s="7"/>
      <c r="I329" s="109" t="s">
        <v>1646</v>
      </c>
      <c r="J329" s="5" t="s">
        <v>1647</v>
      </c>
      <c r="K329" s="114"/>
    </row>
    <row r="330" spans="1:17" ht="18" customHeight="1">
      <c r="B330" s="7"/>
      <c r="C330" s="7"/>
      <c r="D330" s="7"/>
      <c r="E330" s="7" t="s">
        <v>965</v>
      </c>
      <c r="F330" s="7"/>
      <c r="G330" s="7"/>
      <c r="H330" s="7"/>
      <c r="I330" s="109" t="s">
        <v>1646</v>
      </c>
      <c r="J330" s="113"/>
      <c r="K330" s="114"/>
    </row>
    <row r="331" spans="1:17" ht="18" customHeight="1">
      <c r="B331" s="7"/>
      <c r="C331" s="7" t="s">
        <v>829</v>
      </c>
      <c r="D331" s="7"/>
      <c r="E331" s="7"/>
      <c r="F331" s="7"/>
      <c r="G331" s="7"/>
      <c r="H331" s="7"/>
      <c r="I331" s="110" t="s">
        <v>1648</v>
      </c>
      <c r="J331" s="111"/>
      <c r="K331" s="114"/>
    </row>
    <row r="332" spans="1:17" ht="16.5">
      <c r="A332" t="s">
        <v>828</v>
      </c>
      <c r="B332" s="7"/>
      <c r="C332" s="7"/>
      <c r="D332" s="7"/>
      <c r="E332" s="61" t="s">
        <v>823</v>
      </c>
      <c r="F332" s="61" t="s">
        <v>823</v>
      </c>
      <c r="G332" s="104"/>
      <c r="H332" s="105">
        <f>H331+1</f>
        <v>1</v>
      </c>
      <c r="I332" s="124" t="s">
        <v>1648</v>
      </c>
      <c r="J332" s="122" t="s">
        <v>1649</v>
      </c>
      <c r="K332" s="108"/>
      <c r="L332" s="59"/>
      <c r="M332" s="51"/>
      <c r="N332" s="82"/>
      <c r="O332" s="90" t="s">
        <v>829</v>
      </c>
      <c r="P332" s="82"/>
      <c r="Q332" s="3"/>
    </row>
    <row r="333" spans="1:17" ht="18" customHeight="1">
      <c r="B333" s="7"/>
      <c r="C333" s="7"/>
      <c r="D333" s="7"/>
      <c r="E333" s="7" t="s">
        <v>1650</v>
      </c>
      <c r="F333" s="7"/>
      <c r="G333" s="7"/>
      <c r="H333" s="7"/>
      <c r="I333" s="109" t="s">
        <v>1651</v>
      </c>
      <c r="J333" s="113" t="s">
        <v>1652</v>
      </c>
      <c r="K333" s="114"/>
    </row>
    <row r="334" spans="1:17" ht="18" customHeight="1">
      <c r="B334" s="7"/>
      <c r="C334" s="7"/>
      <c r="D334" s="7"/>
      <c r="E334" s="7"/>
      <c r="F334" s="7"/>
      <c r="G334" s="7"/>
      <c r="H334" s="7"/>
      <c r="I334" s="109" t="s">
        <v>1653</v>
      </c>
      <c r="J334" s="118">
        <v>41796</v>
      </c>
      <c r="K334" s="114" t="s">
        <v>1654</v>
      </c>
    </row>
    <row r="335" spans="1:17" ht="16.5">
      <c r="B335" s="7"/>
      <c r="C335" s="7"/>
      <c r="D335" s="7"/>
      <c r="E335" s="7"/>
      <c r="F335" s="7"/>
      <c r="G335" s="7"/>
      <c r="H335" s="7"/>
      <c r="I335" s="109" t="s">
        <v>1655</v>
      </c>
      <c r="J335" s="113"/>
      <c r="K335" s="114"/>
    </row>
    <row r="336" spans="1:17" ht="18" customHeight="1">
      <c r="B336" s="7"/>
      <c r="C336" s="7"/>
      <c r="D336" s="7"/>
      <c r="E336" s="7" t="s">
        <v>1656</v>
      </c>
      <c r="F336" s="7"/>
      <c r="G336" s="7"/>
      <c r="H336" s="7"/>
      <c r="I336" s="109" t="s">
        <v>1657</v>
      </c>
      <c r="J336" s="113" t="s">
        <v>1658</v>
      </c>
      <c r="K336" s="114" t="s">
        <v>1659</v>
      </c>
    </row>
    <row r="337" spans="1:11" ht="18" customHeight="1">
      <c r="A337" t="s">
        <v>828</v>
      </c>
      <c r="B337" s="7" t="s">
        <v>1006</v>
      </c>
      <c r="C337" s="7" t="s">
        <v>1660</v>
      </c>
      <c r="D337" s="7"/>
      <c r="E337" s="7" t="s">
        <v>826</v>
      </c>
      <c r="F337" s="7"/>
      <c r="G337" s="7"/>
      <c r="H337" s="7"/>
      <c r="I337" s="109" t="s">
        <v>1661</v>
      </c>
      <c r="J337" s="113" t="s">
        <v>1662</v>
      </c>
      <c r="K337" s="8" t="s">
        <v>1663</v>
      </c>
    </row>
    <row r="338" spans="1:11" ht="18" customHeight="1">
      <c r="B338" s="7"/>
      <c r="C338" s="7"/>
      <c r="D338" s="7"/>
      <c r="E338" s="7"/>
      <c r="F338" s="7"/>
      <c r="G338" s="7"/>
      <c r="H338" s="7"/>
      <c r="I338" s="109" t="s">
        <v>1664</v>
      </c>
      <c r="J338" s="113" t="s">
        <v>1665</v>
      </c>
      <c r="K338" s="114" t="s">
        <v>1666</v>
      </c>
    </row>
    <row r="339" spans="1:11" ht="18" customHeight="1">
      <c r="B339" s="7"/>
      <c r="C339" s="7"/>
      <c r="D339" s="7"/>
      <c r="E339" s="7"/>
      <c r="F339" s="7"/>
      <c r="G339" s="7"/>
      <c r="H339" s="7"/>
      <c r="I339" s="109" t="s">
        <v>3</v>
      </c>
      <c r="J339" s="115" t="s">
        <v>3</v>
      </c>
      <c r="K339" s="114"/>
    </row>
    <row r="340" spans="1:11" ht="18" customHeight="1">
      <c r="A340" t="s">
        <v>828</v>
      </c>
      <c r="B340" s="7"/>
      <c r="C340" s="7"/>
      <c r="D340" s="7"/>
      <c r="E340" s="7" t="s">
        <v>1667</v>
      </c>
      <c r="F340" s="7"/>
      <c r="G340" s="7"/>
      <c r="H340" s="7"/>
      <c r="I340" s="109" t="s">
        <v>1639</v>
      </c>
      <c r="J340" s="113" t="s">
        <v>1668</v>
      </c>
      <c r="K340" s="114"/>
    </row>
    <row r="341" spans="1:11" ht="18" customHeight="1">
      <c r="B341" s="7"/>
      <c r="C341" s="7"/>
      <c r="D341" s="7"/>
      <c r="E341" s="7"/>
      <c r="F341" s="7"/>
      <c r="G341" s="117" t="s">
        <v>559</v>
      </c>
      <c r="H341" s="7"/>
      <c r="I341" s="109" t="s">
        <v>1669</v>
      </c>
      <c r="J341" s="113"/>
      <c r="K341" s="114"/>
    </row>
    <row r="342" spans="1:11" ht="18" customHeight="1">
      <c r="B342" s="7"/>
      <c r="C342" s="7" t="s">
        <v>1051</v>
      </c>
      <c r="D342" s="7"/>
      <c r="E342" s="7"/>
      <c r="F342" s="7"/>
      <c r="G342" s="7"/>
      <c r="H342" s="7"/>
      <c r="I342" s="109" t="s">
        <v>1670</v>
      </c>
      <c r="J342" s="109" t="s">
        <v>1671</v>
      </c>
      <c r="K342" s="116"/>
    </row>
    <row r="343" spans="1:11" ht="18" customHeight="1">
      <c r="B343" s="7"/>
      <c r="C343" s="7"/>
      <c r="D343" s="7"/>
      <c r="E343" s="7"/>
      <c r="F343" s="7"/>
      <c r="G343" s="117" t="s">
        <v>559</v>
      </c>
      <c r="H343" s="7"/>
      <c r="I343" s="109" t="s">
        <v>1672</v>
      </c>
      <c r="J343" s="113"/>
      <c r="K343" s="114"/>
    </row>
    <row r="344" spans="1:11" ht="18" customHeight="1">
      <c r="B344" s="7"/>
      <c r="C344" s="7"/>
      <c r="D344" s="7"/>
      <c r="E344" s="7"/>
      <c r="F344" s="7"/>
      <c r="G344" s="7"/>
      <c r="H344" s="7"/>
      <c r="I344" s="109" t="s">
        <v>1673</v>
      </c>
      <c r="J344" s="5" t="s">
        <v>1674</v>
      </c>
      <c r="K344" s="114" t="s">
        <v>1675</v>
      </c>
    </row>
    <row r="345" spans="1:11" ht="18" customHeight="1">
      <c r="B345" s="7"/>
      <c r="C345" s="7" t="s">
        <v>1051</v>
      </c>
      <c r="D345" s="7"/>
      <c r="E345" s="7"/>
      <c r="F345" s="7"/>
      <c r="G345" s="7"/>
      <c r="H345" s="7"/>
      <c r="I345" s="109" t="s">
        <v>1676</v>
      </c>
      <c r="J345" s="131" t="s">
        <v>1677</v>
      </c>
      <c r="K345" s="116" t="s">
        <v>1678</v>
      </c>
    </row>
    <row r="346" spans="1:11" ht="18" customHeight="1">
      <c r="B346" s="7"/>
      <c r="C346" s="7"/>
      <c r="D346" s="7"/>
      <c r="E346" s="7" t="s">
        <v>1679</v>
      </c>
      <c r="F346" s="7"/>
      <c r="G346" s="7"/>
      <c r="H346" s="7"/>
      <c r="I346" s="109" t="s">
        <v>1680</v>
      </c>
      <c r="J346" s="113" t="s">
        <v>1681</v>
      </c>
      <c r="K346" s="114" t="s">
        <v>1682</v>
      </c>
    </row>
    <row r="347" spans="1:11" ht="18" customHeight="1">
      <c r="B347" s="7"/>
      <c r="C347" s="7"/>
      <c r="D347" s="7"/>
      <c r="E347" s="7"/>
      <c r="F347" s="7"/>
      <c r="G347" s="117" t="s">
        <v>559</v>
      </c>
      <c r="H347" s="7"/>
      <c r="I347" s="109" t="s">
        <v>1683</v>
      </c>
      <c r="J347" s="113"/>
      <c r="K347" s="114"/>
    </row>
    <row r="348" spans="1:11" ht="16.5">
      <c r="B348" s="7"/>
      <c r="C348" s="7"/>
      <c r="D348" s="7"/>
      <c r="E348" s="7"/>
      <c r="F348" s="7"/>
      <c r="G348" s="7"/>
      <c r="H348" s="7"/>
      <c r="I348" s="109" t="s">
        <v>1684</v>
      </c>
      <c r="J348" s="113"/>
      <c r="K348" s="114" t="s">
        <v>1685</v>
      </c>
    </row>
    <row r="349" spans="1:11" ht="16.5">
      <c r="B349" s="7"/>
      <c r="C349" s="7"/>
      <c r="D349" s="7"/>
      <c r="E349" s="7" t="s">
        <v>1686</v>
      </c>
      <c r="F349" s="7"/>
      <c r="G349" s="7"/>
      <c r="H349" s="7"/>
      <c r="I349" s="109" t="s">
        <v>1687</v>
      </c>
      <c r="J349" s="5" t="s">
        <v>1688</v>
      </c>
      <c r="K349" s="114" t="s">
        <v>1689</v>
      </c>
    </row>
    <row r="350" spans="1:11" ht="16.5">
      <c r="A350" t="s">
        <v>828</v>
      </c>
      <c r="B350" s="7" t="s">
        <v>850</v>
      </c>
      <c r="C350" s="7" t="s">
        <v>825</v>
      </c>
      <c r="D350" s="7"/>
      <c r="E350" s="7" t="s">
        <v>826</v>
      </c>
      <c r="F350" s="7"/>
      <c r="G350" s="7"/>
      <c r="H350" s="7"/>
      <c r="I350" s="109" t="s">
        <v>1690</v>
      </c>
      <c r="J350" s="5" t="s">
        <v>1691</v>
      </c>
      <c r="K350" s="114" t="s">
        <v>1692</v>
      </c>
    </row>
    <row r="351" spans="1:11" ht="18" customHeight="1">
      <c r="B351" s="7"/>
      <c r="C351" s="7"/>
      <c r="D351" s="7"/>
      <c r="E351" s="7"/>
      <c r="F351" s="7"/>
      <c r="G351" s="7"/>
      <c r="H351" s="7"/>
      <c r="I351" s="109" t="s">
        <v>1693</v>
      </c>
      <c r="J351" s="113" t="s">
        <v>1694</v>
      </c>
      <c r="K351" s="114" t="s">
        <v>1695</v>
      </c>
    </row>
    <row r="352" spans="1:11" ht="16.5">
      <c r="B352" s="7"/>
      <c r="C352" s="7"/>
      <c r="D352" s="7"/>
      <c r="E352" s="7" t="s">
        <v>1007</v>
      </c>
      <c r="F352" s="7"/>
      <c r="G352" s="7"/>
      <c r="H352" s="7"/>
      <c r="I352" s="109" t="s">
        <v>1696</v>
      </c>
      <c r="J352" s="113" t="s">
        <v>1697</v>
      </c>
      <c r="K352" s="114" t="s">
        <v>1698</v>
      </c>
    </row>
    <row r="353" spans="1:17" ht="18" customHeight="1">
      <c r="B353" s="7"/>
      <c r="C353" s="7"/>
      <c r="D353" s="7"/>
      <c r="E353" s="7"/>
      <c r="F353" s="7"/>
      <c r="G353" s="7"/>
      <c r="H353" s="7"/>
      <c r="I353" s="109" t="s">
        <v>1699</v>
      </c>
      <c r="J353" s="156" t="s">
        <v>3</v>
      </c>
      <c r="K353" s="114"/>
    </row>
    <row r="354" spans="1:17" ht="18" customHeight="1">
      <c r="B354" s="7"/>
      <c r="C354" s="7"/>
      <c r="D354" s="7"/>
      <c r="E354" s="7"/>
      <c r="F354" s="7"/>
      <c r="G354" s="7"/>
      <c r="H354" s="7"/>
      <c r="I354" s="109" t="s">
        <v>1700</v>
      </c>
      <c r="J354" s="113"/>
      <c r="K354" s="114" t="s">
        <v>1701</v>
      </c>
    </row>
    <row r="355" spans="1:17" ht="18" customHeight="1">
      <c r="B355" s="7"/>
      <c r="C355" s="7"/>
      <c r="D355" s="7"/>
      <c r="E355" s="7"/>
      <c r="F355" s="7"/>
      <c r="G355" s="7"/>
      <c r="H355" s="7"/>
      <c r="I355" s="109" t="s">
        <v>1702</v>
      </c>
      <c r="J355" s="113"/>
      <c r="K355" s="114"/>
    </row>
    <row r="356" spans="1:17" ht="18" customHeight="1">
      <c r="B356" s="7"/>
      <c r="C356" s="7"/>
      <c r="D356" s="7"/>
      <c r="E356" s="7"/>
      <c r="F356" s="7"/>
      <c r="G356" s="7"/>
      <c r="H356" s="7"/>
      <c r="I356" s="109" t="s">
        <v>1703</v>
      </c>
      <c r="J356" s="113"/>
      <c r="K356" s="114" t="s">
        <v>1704</v>
      </c>
    </row>
    <row r="357" spans="1:17" ht="18" customHeight="1">
      <c r="B357" s="7"/>
      <c r="C357" s="7"/>
      <c r="D357" s="7"/>
      <c r="E357" s="7"/>
      <c r="F357" s="7"/>
      <c r="G357" s="7"/>
      <c r="H357" s="7"/>
      <c r="I357" s="109" t="s">
        <v>1705</v>
      </c>
      <c r="J357" s="113"/>
      <c r="K357" s="114" t="s">
        <v>1706</v>
      </c>
    </row>
    <row r="358" spans="1:17" ht="18" customHeight="1">
      <c r="B358" s="7"/>
      <c r="C358" s="7"/>
      <c r="D358" s="7"/>
      <c r="E358" s="7"/>
      <c r="F358" s="7"/>
      <c r="G358" s="7"/>
      <c r="H358" s="7"/>
      <c r="I358" s="109" t="s">
        <v>1707</v>
      </c>
      <c r="J358" s="113" t="s">
        <v>1708</v>
      </c>
      <c r="K358" s="8" t="s">
        <v>1709</v>
      </c>
    </row>
    <row r="359" spans="1:17" ht="18" customHeight="1">
      <c r="B359" s="7"/>
      <c r="C359" s="7"/>
      <c r="D359" s="7"/>
      <c r="E359" s="7" t="s">
        <v>1710</v>
      </c>
      <c r="F359" s="7"/>
      <c r="G359" s="7"/>
      <c r="H359" s="7"/>
      <c r="I359" s="109" t="s">
        <v>1711</v>
      </c>
      <c r="J359" s="118">
        <v>44529</v>
      </c>
      <c r="K359" s="114" t="s">
        <v>499</v>
      </c>
    </row>
    <row r="360" spans="1:17" ht="18" customHeight="1">
      <c r="B360" s="7"/>
      <c r="C360" s="7"/>
      <c r="D360" s="7"/>
      <c r="E360" s="7"/>
      <c r="F360" s="7"/>
      <c r="G360" s="117" t="s">
        <v>559</v>
      </c>
      <c r="H360" s="7"/>
      <c r="I360" s="109" t="s">
        <v>1712</v>
      </c>
      <c r="J360" s="113"/>
      <c r="K360" s="114"/>
    </row>
    <row r="361" spans="1:17" ht="16.5">
      <c r="A361" t="s">
        <v>1342</v>
      </c>
      <c r="B361" s="7" t="s">
        <v>1006</v>
      </c>
      <c r="C361" s="7"/>
      <c r="D361" s="7"/>
      <c r="E361" s="7"/>
      <c r="F361" s="7"/>
      <c r="G361" s="7"/>
      <c r="H361" s="7"/>
      <c r="I361" s="10" t="s">
        <v>1713</v>
      </c>
      <c r="J361" s="5" t="s">
        <v>1714</v>
      </c>
      <c r="K361" s="114" t="s">
        <v>1715</v>
      </c>
    </row>
    <row r="362" spans="1:17" ht="18" customHeight="1">
      <c r="B362" s="7"/>
      <c r="C362" s="7"/>
      <c r="D362" s="7"/>
      <c r="E362" s="7"/>
      <c r="F362" s="7"/>
      <c r="G362" s="7"/>
      <c r="H362" s="7"/>
      <c r="I362" s="109" t="s">
        <v>1716</v>
      </c>
      <c r="J362" s="113"/>
      <c r="K362" s="114"/>
    </row>
    <row r="363" spans="1:17" ht="18" customHeight="1">
      <c r="B363" s="7" t="s">
        <v>821</v>
      </c>
      <c r="C363" s="7"/>
      <c r="D363" s="7"/>
      <c r="E363" s="7"/>
      <c r="F363" s="7"/>
      <c r="G363" s="7"/>
      <c r="H363" s="7"/>
      <c r="I363" s="110" t="s">
        <v>1717</v>
      </c>
      <c r="J363" s="111" t="s">
        <v>1718</v>
      </c>
      <c r="K363" s="119" t="s">
        <v>1719</v>
      </c>
    </row>
    <row r="364" spans="1:17" ht="18" customHeight="1">
      <c r="B364" s="7" t="s">
        <v>821</v>
      </c>
      <c r="C364" s="7"/>
      <c r="D364" s="7"/>
      <c r="E364" s="7"/>
      <c r="F364" s="7"/>
      <c r="G364" s="7"/>
      <c r="H364" s="7"/>
      <c r="I364" s="109" t="s">
        <v>1720</v>
      </c>
      <c r="J364" s="5" t="s">
        <v>1721</v>
      </c>
      <c r="K364" s="114" t="s">
        <v>1722</v>
      </c>
    </row>
    <row r="365" spans="1:17" ht="18" customHeight="1">
      <c r="B365" s="7"/>
      <c r="C365" s="7"/>
      <c r="D365" s="7" t="s">
        <v>1723</v>
      </c>
      <c r="E365" s="112"/>
      <c r="F365" s="112"/>
      <c r="G365" s="112"/>
      <c r="H365" s="112"/>
      <c r="I365" s="109" t="s">
        <v>1724</v>
      </c>
      <c r="J365" s="113" t="s">
        <v>1725</v>
      </c>
      <c r="K365" s="114" t="s">
        <v>1726</v>
      </c>
    </row>
    <row r="366" spans="1:17" ht="18" customHeight="1">
      <c r="B366" s="7"/>
      <c r="C366" s="7"/>
      <c r="D366" s="7"/>
      <c r="E366" s="7"/>
      <c r="F366" s="7"/>
      <c r="G366" s="7"/>
      <c r="H366" s="7"/>
      <c r="I366" s="109" t="s">
        <v>1727</v>
      </c>
      <c r="J366" s="109" t="s">
        <v>1728</v>
      </c>
      <c r="K366" s="116"/>
    </row>
    <row r="367" spans="1:17" ht="18" customHeight="1">
      <c r="A367" t="s">
        <v>1361</v>
      </c>
      <c r="B367" s="7" t="s">
        <v>821</v>
      </c>
      <c r="C367" s="7"/>
      <c r="D367" s="7"/>
      <c r="E367" s="7" t="s">
        <v>833</v>
      </c>
      <c r="F367" s="7"/>
      <c r="G367" s="7"/>
      <c r="H367" s="7"/>
      <c r="I367" s="109" t="s">
        <v>1729</v>
      </c>
      <c r="J367" s="5" t="s">
        <v>1730</v>
      </c>
      <c r="K367" s="114" t="s">
        <v>1731</v>
      </c>
    </row>
    <row r="368" spans="1:17" ht="18" customHeight="1">
      <c r="A368" t="s">
        <v>828</v>
      </c>
      <c r="B368" s="7" t="s">
        <v>1006</v>
      </c>
      <c r="C368" s="7" t="s">
        <v>1329</v>
      </c>
      <c r="D368" s="7"/>
      <c r="E368" s="61" t="s">
        <v>823</v>
      </c>
      <c r="F368" s="61" t="s">
        <v>823</v>
      </c>
      <c r="G368" s="104"/>
      <c r="H368" s="105" t="e">
        <f>#REF!+1</f>
        <v>#REF!</v>
      </c>
      <c r="I368" s="124" t="s">
        <v>1732</v>
      </c>
      <c r="J368" s="139" t="s">
        <v>1733</v>
      </c>
      <c r="K368" s="108" t="s">
        <v>1734</v>
      </c>
      <c r="L368" s="59"/>
      <c r="M368" s="51"/>
      <c r="N368" s="82"/>
      <c r="O368" s="90" t="s">
        <v>1329</v>
      </c>
      <c r="P368" s="82"/>
      <c r="Q368" s="3"/>
    </row>
    <row r="369" spans="1:19" ht="18" customHeight="1">
      <c r="B369" s="7"/>
      <c r="C369" s="7"/>
      <c r="D369" s="7"/>
      <c r="E369" s="7"/>
      <c r="F369" s="7"/>
      <c r="G369" s="117" t="s">
        <v>559</v>
      </c>
      <c r="H369" s="7"/>
      <c r="I369" s="109" t="s">
        <v>1735</v>
      </c>
      <c r="J369" s="113"/>
      <c r="K369" s="114"/>
    </row>
    <row r="370" spans="1:19" ht="18" customHeight="1">
      <c r="B370" s="7"/>
      <c r="C370" s="7"/>
      <c r="D370" s="7"/>
      <c r="E370" s="7"/>
      <c r="F370" s="7"/>
      <c r="G370" s="7"/>
      <c r="H370" s="7"/>
      <c r="I370" s="109" t="s">
        <v>1736</v>
      </c>
      <c r="J370" s="113"/>
      <c r="K370" s="114" t="s">
        <v>1737</v>
      </c>
    </row>
    <row r="371" spans="1:19" ht="16.5">
      <c r="A371" t="s">
        <v>828</v>
      </c>
      <c r="B371" s="7" t="s">
        <v>3</v>
      </c>
      <c r="C371" s="7" t="s">
        <v>3</v>
      </c>
      <c r="D371" s="7"/>
      <c r="E371" s="62" t="s">
        <v>965</v>
      </c>
      <c r="F371" s="62" t="s">
        <v>965</v>
      </c>
      <c r="G371" s="154"/>
      <c r="H371" s="154" t="s">
        <v>523</v>
      </c>
      <c r="I371" s="135" t="s">
        <v>1738</v>
      </c>
      <c r="J371" s="143" t="s">
        <v>1739</v>
      </c>
      <c r="K371" s="137" t="s">
        <v>1740</v>
      </c>
      <c r="L371" s="44"/>
      <c r="M371" s="44" t="s">
        <v>1741</v>
      </c>
    </row>
    <row r="372" spans="1:19" ht="18" customHeight="1">
      <c r="B372" s="7"/>
      <c r="C372" s="7"/>
      <c r="D372" s="39"/>
      <c r="E372" s="7"/>
      <c r="F372" s="7"/>
      <c r="G372" s="7"/>
      <c r="H372" s="7"/>
      <c r="I372" s="109" t="s">
        <v>1742</v>
      </c>
      <c r="J372" s="113"/>
      <c r="K372" s="114"/>
    </row>
    <row r="373" spans="1:19" ht="18" customHeight="1">
      <c r="A373" t="s">
        <v>828</v>
      </c>
      <c r="B373" s="7"/>
      <c r="C373" s="7" t="s">
        <v>1611</v>
      </c>
      <c r="D373" s="7"/>
      <c r="E373" s="61" t="s">
        <v>823</v>
      </c>
      <c r="F373" s="61" t="s">
        <v>823</v>
      </c>
      <c r="G373" s="104"/>
      <c r="H373" s="105"/>
      <c r="I373" s="190" t="s">
        <v>1743</v>
      </c>
      <c r="J373" s="122" t="s">
        <v>1744</v>
      </c>
      <c r="K373" s="108"/>
      <c r="L373" s="59"/>
      <c r="M373" s="51" t="s">
        <v>1745</v>
      </c>
      <c r="N373" s="82"/>
      <c r="O373" s="90" t="s">
        <v>1611</v>
      </c>
      <c r="P373" s="82"/>
      <c r="Q373" s="3"/>
      <c r="S373" t="s">
        <v>878</v>
      </c>
    </row>
    <row r="374" spans="1:19" ht="18" customHeight="1">
      <c r="B374" s="7"/>
      <c r="C374" s="7" t="s">
        <v>1051</v>
      </c>
      <c r="D374" s="7"/>
      <c r="E374" s="7"/>
      <c r="F374" s="7"/>
      <c r="G374" s="7"/>
      <c r="H374" s="7"/>
      <c r="I374" s="109" t="s">
        <v>1746</v>
      </c>
      <c r="J374" s="109" t="s">
        <v>1747</v>
      </c>
      <c r="K374" s="8" t="s">
        <v>1748</v>
      </c>
    </row>
    <row r="375" spans="1:19" ht="18" customHeight="1">
      <c r="A375" t="s">
        <v>1361</v>
      </c>
      <c r="B375" s="7"/>
      <c r="C375" s="7"/>
      <c r="D375" s="7"/>
      <c r="E375" s="7" t="s">
        <v>964</v>
      </c>
      <c r="F375" s="7"/>
      <c r="G375" s="7"/>
      <c r="H375" s="7"/>
      <c r="I375" s="109" t="s">
        <v>1749</v>
      </c>
      <c r="J375" s="113" t="s">
        <v>1750</v>
      </c>
      <c r="K375" s="114" t="s">
        <v>1751</v>
      </c>
    </row>
    <row r="376" spans="1:19" ht="18">
      <c r="B376" s="7"/>
      <c r="C376" s="7"/>
      <c r="D376" s="7"/>
      <c r="E376" s="7" t="s">
        <v>1752</v>
      </c>
      <c r="F376" s="7"/>
      <c r="G376" s="7"/>
      <c r="H376" s="7"/>
      <c r="I376" s="109" t="s">
        <v>1753</v>
      </c>
      <c r="J376" s="109" t="s">
        <v>1754</v>
      </c>
      <c r="K376" s="116"/>
    </row>
    <row r="377" spans="1:19" ht="18" customHeight="1">
      <c r="B377" s="7"/>
      <c r="C377" s="7"/>
      <c r="D377" s="7"/>
      <c r="E377" s="7"/>
      <c r="F377" s="7"/>
      <c r="G377" s="117" t="s">
        <v>559</v>
      </c>
      <c r="H377" s="7"/>
      <c r="I377" s="109" t="s">
        <v>1755</v>
      </c>
      <c r="J377" s="113" t="s">
        <v>559</v>
      </c>
      <c r="K377" s="114" t="s">
        <v>1756</v>
      </c>
    </row>
    <row r="378" spans="1:19" ht="18" customHeight="1">
      <c r="A378" t="s">
        <v>1361</v>
      </c>
      <c r="B378" s="7" t="s">
        <v>821</v>
      </c>
      <c r="C378" s="7"/>
      <c r="D378" s="7"/>
      <c r="E378" s="7" t="s">
        <v>1757</v>
      </c>
      <c r="F378" s="7"/>
      <c r="G378" s="7"/>
      <c r="H378" s="7"/>
      <c r="I378" s="113" t="s">
        <v>1758</v>
      </c>
      <c r="J378" s="5" t="s">
        <v>1759</v>
      </c>
      <c r="K378" s="114" t="s">
        <v>1760</v>
      </c>
    </row>
    <row r="379" spans="1:19" ht="18" customHeight="1">
      <c r="A379" t="s">
        <v>1361</v>
      </c>
      <c r="B379" s="7"/>
      <c r="C379" s="7" t="s">
        <v>1051</v>
      </c>
      <c r="D379" s="7"/>
      <c r="E379" s="7"/>
      <c r="F379" s="7"/>
      <c r="G379" s="7"/>
      <c r="H379" s="7"/>
      <c r="I379" s="109" t="s">
        <v>1761</v>
      </c>
      <c r="J379" s="113" t="s">
        <v>1762</v>
      </c>
      <c r="K379" s="114"/>
    </row>
    <row r="380" spans="1:19" ht="18" customHeight="1">
      <c r="B380" s="7" t="s">
        <v>881</v>
      </c>
      <c r="C380" s="7"/>
      <c r="D380" s="7" t="s">
        <v>1763</v>
      </c>
      <c r="E380" s="112"/>
      <c r="F380" s="112"/>
      <c r="G380" s="112"/>
      <c r="H380" s="112"/>
      <c r="I380" s="109" t="s">
        <v>1764</v>
      </c>
      <c r="J380" s="113" t="s">
        <v>1765</v>
      </c>
      <c r="K380" s="114" t="s">
        <v>1766</v>
      </c>
    </row>
    <row r="381" spans="1:19" ht="18" customHeight="1">
      <c r="B381" s="7"/>
      <c r="C381" s="7"/>
      <c r="D381" s="7"/>
      <c r="E381" s="7"/>
      <c r="F381" s="7"/>
      <c r="G381" s="117" t="s">
        <v>559</v>
      </c>
      <c r="H381" s="7"/>
      <c r="I381" s="109" t="s">
        <v>1767</v>
      </c>
      <c r="J381" s="113" t="s">
        <v>559</v>
      </c>
      <c r="K381" s="114"/>
    </row>
    <row r="382" spans="1:19" ht="18" customHeight="1">
      <c r="B382" s="7"/>
      <c r="C382" s="7"/>
      <c r="D382" s="7"/>
      <c r="E382" s="7" t="s">
        <v>1768</v>
      </c>
      <c r="F382" s="7"/>
      <c r="G382" s="7"/>
      <c r="H382" s="7"/>
      <c r="I382" s="109" t="s">
        <v>1769</v>
      </c>
      <c r="J382" s="5" t="s">
        <v>1770</v>
      </c>
      <c r="K382" s="114" t="s">
        <v>1771</v>
      </c>
    </row>
    <row r="383" spans="1:19" ht="18" customHeight="1">
      <c r="A383" t="s">
        <v>828</v>
      </c>
      <c r="B383" s="7"/>
      <c r="C383" s="7" t="s">
        <v>854</v>
      </c>
      <c r="D383" s="7"/>
      <c r="E383" s="61" t="s">
        <v>823</v>
      </c>
      <c r="F383" s="61" t="s">
        <v>823</v>
      </c>
      <c r="G383" s="104"/>
      <c r="H383" s="105" t="e">
        <f>#REF!+1</f>
        <v>#REF!</v>
      </c>
      <c r="I383" s="106" t="s">
        <v>1772</v>
      </c>
      <c r="J383" s="106" t="s">
        <v>1773</v>
      </c>
      <c r="K383" s="149" t="s">
        <v>1774</v>
      </c>
      <c r="L383" s="51"/>
      <c r="M383" s="60" t="s">
        <v>1775</v>
      </c>
      <c r="N383" s="85" t="s">
        <v>1776</v>
      </c>
      <c r="O383" s="90" t="s">
        <v>854</v>
      </c>
      <c r="P383" s="82"/>
      <c r="Q383" s="3"/>
    </row>
    <row r="384" spans="1:19" ht="18" customHeight="1">
      <c r="B384" s="7"/>
      <c r="C384" s="7"/>
      <c r="D384" s="120"/>
      <c r="E384" s="7" t="s">
        <v>1777</v>
      </c>
      <c r="F384" s="7"/>
      <c r="G384" s="7"/>
      <c r="H384" s="7"/>
      <c r="I384" s="109" t="s">
        <v>1778</v>
      </c>
      <c r="J384" s="111" t="s">
        <v>1779</v>
      </c>
      <c r="K384" s="114"/>
    </row>
    <row r="385" spans="1:17" ht="18" customHeight="1">
      <c r="A385" t="s">
        <v>828</v>
      </c>
      <c r="B385" s="7"/>
      <c r="C385" s="7"/>
      <c r="D385" s="7"/>
      <c r="E385" s="61" t="s">
        <v>823</v>
      </c>
      <c r="F385" s="61" t="s">
        <v>823</v>
      </c>
      <c r="G385" s="104"/>
      <c r="H385" s="105"/>
      <c r="I385" s="121" t="s">
        <v>1778</v>
      </c>
      <c r="J385" s="122" t="s">
        <v>1779</v>
      </c>
      <c r="K385" s="7" t="s">
        <v>1777</v>
      </c>
      <c r="L385" s="7"/>
      <c r="M385" s="7"/>
      <c r="N385" s="7"/>
      <c r="O385" s="90"/>
      <c r="P385" s="82"/>
      <c r="Q385" s="3" t="s">
        <v>1777</v>
      </c>
    </row>
    <row r="386" spans="1:17" ht="18" customHeight="1">
      <c r="B386" s="7"/>
      <c r="C386" s="7" t="s">
        <v>1329</v>
      </c>
      <c r="D386" s="7"/>
      <c r="E386" s="7"/>
      <c r="F386" s="7"/>
      <c r="G386" s="7"/>
      <c r="H386" s="7"/>
      <c r="I386" s="109" t="s">
        <v>1780</v>
      </c>
      <c r="J386" s="113"/>
      <c r="K386" s="8" t="s">
        <v>1781</v>
      </c>
    </row>
    <row r="387" spans="1:17" ht="18" customHeight="1">
      <c r="A387" t="s">
        <v>1361</v>
      </c>
      <c r="B387" s="7" t="s">
        <v>850</v>
      </c>
      <c r="C387" s="7" t="s">
        <v>825</v>
      </c>
      <c r="D387" s="7"/>
      <c r="E387" s="7"/>
      <c r="F387" s="7"/>
      <c r="G387" s="7"/>
      <c r="H387" s="7"/>
      <c r="I387" s="109" t="s">
        <v>1782</v>
      </c>
      <c r="J387" s="113" t="s">
        <v>1783</v>
      </c>
      <c r="K387" s="114" t="s">
        <v>1784</v>
      </c>
    </row>
    <row r="388" spans="1:17" ht="18" customHeight="1">
      <c r="B388" s="7"/>
      <c r="C388" s="7"/>
      <c r="D388" s="7"/>
      <c r="E388" s="7" t="s">
        <v>1029</v>
      </c>
      <c r="F388" s="7"/>
      <c r="G388" s="7"/>
      <c r="H388" s="7"/>
      <c r="I388" s="109" t="s">
        <v>1785</v>
      </c>
      <c r="J388" s="115" t="s">
        <v>1786</v>
      </c>
      <c r="K388" s="114"/>
    </row>
    <row r="389" spans="1:17" ht="18" customHeight="1">
      <c r="B389" s="120"/>
      <c r="C389" s="7" t="s">
        <v>1787</v>
      </c>
      <c r="D389" s="7" t="s">
        <v>499</v>
      </c>
      <c r="E389" s="112"/>
      <c r="F389" s="112"/>
      <c r="G389" s="112"/>
      <c r="H389" s="112"/>
      <c r="I389" s="109" t="s">
        <v>1788</v>
      </c>
      <c r="J389" s="12" t="s">
        <v>1770</v>
      </c>
      <c r="K389" s="114" t="s">
        <v>1789</v>
      </c>
    </row>
    <row r="390" spans="1:17" ht="18" customHeight="1">
      <c r="A390" t="s">
        <v>828</v>
      </c>
      <c r="B390" s="7"/>
      <c r="C390" s="7"/>
      <c r="D390" s="7"/>
      <c r="E390" s="61" t="s">
        <v>823</v>
      </c>
      <c r="F390" s="61" t="s">
        <v>823</v>
      </c>
      <c r="G390" s="104"/>
      <c r="H390" s="105">
        <v>1</v>
      </c>
      <c r="I390" s="106" t="s">
        <v>1788</v>
      </c>
      <c r="J390" s="168" t="s">
        <v>1770</v>
      </c>
      <c r="K390" s="108" t="s">
        <v>1789</v>
      </c>
      <c r="L390" s="59"/>
      <c r="M390" s="51"/>
      <c r="N390" s="82"/>
      <c r="O390" s="90" t="s">
        <v>1787</v>
      </c>
      <c r="P390" s="82"/>
      <c r="Q390" s="3" t="s">
        <v>499</v>
      </c>
    </row>
    <row r="391" spans="1:17" ht="18" customHeight="1">
      <c r="A391" t="s">
        <v>828</v>
      </c>
      <c r="B391" s="7"/>
      <c r="C391" s="7" t="s">
        <v>1038</v>
      </c>
      <c r="D391" s="7"/>
      <c r="E391" s="61" t="s">
        <v>823</v>
      </c>
      <c r="F391" s="61" t="s">
        <v>823</v>
      </c>
      <c r="G391" s="104"/>
      <c r="H391" s="105" t="e">
        <f>#REF!+1</f>
        <v>#REF!</v>
      </c>
      <c r="I391" s="106" t="s">
        <v>1790</v>
      </c>
      <c r="J391" s="106" t="s">
        <v>1791</v>
      </c>
      <c r="K391" s="77" t="s">
        <v>1792</v>
      </c>
      <c r="L391" s="51" t="s">
        <v>1793</v>
      </c>
      <c r="M391" s="51" t="s">
        <v>1794</v>
      </c>
      <c r="N391" s="82"/>
      <c r="O391" s="82" t="s">
        <v>1038</v>
      </c>
      <c r="P391" s="82"/>
      <c r="Q391" s="3"/>
    </row>
    <row r="392" spans="1:17" ht="16.5" customHeight="1">
      <c r="B392" s="7"/>
      <c r="C392" s="7"/>
      <c r="D392" s="7"/>
      <c r="E392" s="7"/>
      <c r="F392" s="7"/>
      <c r="G392" s="7"/>
      <c r="H392" s="7"/>
      <c r="I392" s="109" t="s">
        <v>1795</v>
      </c>
      <c r="J392" s="153">
        <v>44925</v>
      </c>
      <c r="K392" s="114" t="s">
        <v>1508</v>
      </c>
    </row>
    <row r="393" spans="1:17" ht="16.5" customHeight="1">
      <c r="B393" s="7"/>
      <c r="C393" s="7"/>
      <c r="D393" s="7"/>
      <c r="E393" s="7"/>
      <c r="F393" s="7"/>
      <c r="G393" s="7"/>
      <c r="H393" s="7"/>
      <c r="I393" s="109" t="s">
        <v>1796</v>
      </c>
      <c r="J393" s="5"/>
      <c r="K393" s="15" t="s">
        <v>1797</v>
      </c>
    </row>
    <row r="394" spans="1:17" ht="16.5" customHeight="1">
      <c r="A394" t="s">
        <v>828</v>
      </c>
      <c r="B394" s="7" t="s">
        <v>881</v>
      </c>
      <c r="C394" s="7" t="s">
        <v>3</v>
      </c>
      <c r="D394" s="7"/>
      <c r="E394" s="62" t="s">
        <v>965</v>
      </c>
      <c r="F394" s="62" t="s">
        <v>965</v>
      </c>
      <c r="G394" s="191" t="s">
        <v>3</v>
      </c>
      <c r="H394" s="134">
        <v>9</v>
      </c>
      <c r="I394" s="135" t="s">
        <v>1798</v>
      </c>
      <c r="J394" s="172" t="s">
        <v>1799</v>
      </c>
      <c r="K394" s="137" t="s">
        <v>1800</v>
      </c>
      <c r="L394" s="44" t="s">
        <v>1801</v>
      </c>
      <c r="M394" s="44"/>
    </row>
    <row r="395" spans="1:17" ht="16.5">
      <c r="B395" s="7"/>
      <c r="C395" s="7"/>
      <c r="D395" s="7"/>
      <c r="E395" s="7"/>
      <c r="F395" s="7"/>
      <c r="G395" s="7"/>
      <c r="H395" s="7"/>
      <c r="I395" s="109" t="s">
        <v>1679</v>
      </c>
      <c r="J395" s="118">
        <v>43266</v>
      </c>
      <c r="K395" s="114" t="s">
        <v>760</v>
      </c>
    </row>
    <row r="396" spans="1:17" ht="16.5" customHeight="1">
      <c r="B396" s="7"/>
      <c r="C396" s="7"/>
      <c r="D396" s="7"/>
      <c r="E396" s="7"/>
      <c r="F396" s="7"/>
      <c r="G396" s="7"/>
      <c r="H396" s="7"/>
      <c r="I396" s="109" t="s">
        <v>1802</v>
      </c>
      <c r="J396" s="109" t="s">
        <v>1803</v>
      </c>
      <c r="K396" s="116"/>
    </row>
    <row r="397" spans="1:17" ht="16.5">
      <c r="A397" t="s">
        <v>828</v>
      </c>
      <c r="B397" s="7"/>
      <c r="C397" s="7"/>
      <c r="D397" s="7"/>
      <c r="E397" s="61" t="s">
        <v>823</v>
      </c>
      <c r="F397" s="61" t="s">
        <v>823</v>
      </c>
      <c r="G397" s="104" t="s">
        <v>910</v>
      </c>
      <c r="H397" s="105"/>
      <c r="I397" s="121" t="s">
        <v>1804</v>
      </c>
      <c r="J397" s="136" t="s">
        <v>1805</v>
      </c>
      <c r="K397" s="108" t="s">
        <v>1806</v>
      </c>
      <c r="L397" s="59"/>
      <c r="M397" s="51"/>
      <c r="N397" s="82"/>
      <c r="O397" s="90"/>
      <c r="P397" s="82"/>
      <c r="Q397" s="99" t="s">
        <v>970</v>
      </c>
    </row>
    <row r="398" spans="1:17" ht="16.5">
      <c r="B398" s="7"/>
      <c r="C398" s="7"/>
      <c r="D398" s="7"/>
      <c r="E398" s="7"/>
      <c r="F398" s="7"/>
      <c r="G398" s="7"/>
      <c r="H398" s="7"/>
      <c r="I398" s="109" t="s">
        <v>1807</v>
      </c>
      <c r="J398" s="5" t="s">
        <v>1808</v>
      </c>
      <c r="K398" s="114" t="s">
        <v>1809</v>
      </c>
    </row>
    <row r="399" spans="1:17" ht="16.5">
      <c r="B399" s="7"/>
      <c r="C399" s="7"/>
      <c r="D399" s="7"/>
      <c r="E399" s="7" t="s">
        <v>964</v>
      </c>
      <c r="F399" s="7"/>
      <c r="G399" s="7"/>
      <c r="H399" s="7"/>
      <c r="I399" s="109" t="s">
        <v>1810</v>
      </c>
      <c r="J399" s="113" t="s">
        <v>910</v>
      </c>
      <c r="K399" s="114"/>
    </row>
    <row r="400" spans="1:17" ht="16.5">
      <c r="B400" s="7" t="s">
        <v>850</v>
      </c>
      <c r="C400" s="7"/>
      <c r="D400" s="7"/>
      <c r="E400" s="7"/>
      <c r="F400" s="7"/>
      <c r="G400" s="7"/>
      <c r="H400" s="7"/>
      <c r="I400" s="109" t="s">
        <v>1811</v>
      </c>
      <c r="J400" s="5" t="s">
        <v>1812</v>
      </c>
      <c r="K400" s="114" t="s">
        <v>1813</v>
      </c>
    </row>
    <row r="401" spans="1:17" ht="16.5">
      <c r="A401" t="s">
        <v>1361</v>
      </c>
      <c r="B401" s="7"/>
      <c r="C401" s="7"/>
      <c r="D401" s="7"/>
      <c r="E401" s="7" t="s">
        <v>1007</v>
      </c>
      <c r="F401" s="7"/>
      <c r="G401" s="7"/>
      <c r="H401" s="7"/>
      <c r="I401" s="110" t="s">
        <v>1814</v>
      </c>
      <c r="J401" s="111"/>
      <c r="K401" s="9"/>
    </row>
    <row r="402" spans="1:17" ht="16.5">
      <c r="B402" s="7"/>
      <c r="C402" s="7"/>
      <c r="D402" s="7"/>
      <c r="E402" s="7"/>
      <c r="F402" s="7"/>
      <c r="G402" s="7"/>
      <c r="H402" s="7"/>
      <c r="I402" s="113" t="s">
        <v>1815</v>
      </c>
      <c r="J402" s="17" t="s">
        <v>1816</v>
      </c>
      <c r="K402" s="9" t="s">
        <v>1817</v>
      </c>
    </row>
    <row r="403" spans="1:17" ht="16.5">
      <c r="B403" s="7"/>
      <c r="C403" s="7"/>
      <c r="D403" s="7"/>
      <c r="E403" s="7">
        <v>11</v>
      </c>
      <c r="F403" s="7"/>
      <c r="G403" s="7"/>
      <c r="H403" s="7"/>
      <c r="I403" s="109" t="s">
        <v>1818</v>
      </c>
      <c r="J403" s="157" t="s">
        <v>1819</v>
      </c>
      <c r="K403" s="132" t="s">
        <v>1820</v>
      </c>
    </row>
    <row r="404" spans="1:17" ht="16.5">
      <c r="A404" t="s">
        <v>828</v>
      </c>
      <c r="B404" s="7" t="s">
        <v>3</v>
      </c>
      <c r="C404" s="7" t="s">
        <v>3</v>
      </c>
      <c r="D404" s="7"/>
      <c r="E404" s="62" t="s">
        <v>965</v>
      </c>
      <c r="F404" s="62" t="s">
        <v>965</v>
      </c>
      <c r="G404" s="142"/>
      <c r="H404" s="134">
        <v>11</v>
      </c>
      <c r="I404" s="135" t="s">
        <v>1818</v>
      </c>
      <c r="J404" s="150" t="s">
        <v>1819</v>
      </c>
      <c r="K404" s="137" t="s">
        <v>1820</v>
      </c>
      <c r="L404" s="44"/>
      <c r="M404" s="44"/>
    </row>
    <row r="405" spans="1:17" ht="16.5">
      <c r="B405" s="7"/>
      <c r="C405" s="7"/>
      <c r="D405" s="7"/>
      <c r="E405" s="7" t="s">
        <v>1144</v>
      </c>
      <c r="F405" s="7"/>
      <c r="G405" s="7"/>
      <c r="H405" s="7"/>
      <c r="I405" s="109" t="s">
        <v>1821</v>
      </c>
      <c r="J405" s="109" t="s">
        <v>1822</v>
      </c>
      <c r="K405" s="8" t="s">
        <v>1823</v>
      </c>
    </row>
    <row r="406" spans="1:17" ht="16.5">
      <c r="B406" s="7"/>
      <c r="C406" s="7"/>
      <c r="D406" s="7"/>
      <c r="E406" s="7"/>
      <c r="F406" s="7"/>
      <c r="G406" s="7"/>
      <c r="H406" s="7"/>
      <c r="I406" s="109" t="s">
        <v>1824</v>
      </c>
      <c r="J406" s="113" t="s">
        <v>1825</v>
      </c>
      <c r="K406" s="114"/>
    </row>
    <row r="407" spans="1:17" ht="16.5">
      <c r="A407" t="s">
        <v>828</v>
      </c>
      <c r="B407" s="7" t="s">
        <v>816</v>
      </c>
      <c r="C407" s="7" t="s">
        <v>825</v>
      </c>
      <c r="D407" s="7"/>
      <c r="E407" s="61" t="s">
        <v>823</v>
      </c>
      <c r="F407" s="61" t="s">
        <v>823</v>
      </c>
      <c r="G407" s="104"/>
      <c r="H407" s="105" t="e">
        <f>#REF!+1</f>
        <v>#REF!</v>
      </c>
      <c r="I407" s="106" t="s">
        <v>1826</v>
      </c>
      <c r="J407" s="106"/>
      <c r="K407" s="149" t="s">
        <v>1827</v>
      </c>
      <c r="L407" s="59" t="s">
        <v>3</v>
      </c>
      <c r="M407" s="51" t="s">
        <v>1828</v>
      </c>
      <c r="N407" s="82"/>
      <c r="O407" s="90" t="s">
        <v>825</v>
      </c>
      <c r="P407" s="82" t="s">
        <v>1006</v>
      </c>
      <c r="Q407" s="82" t="s">
        <v>1007</v>
      </c>
    </row>
    <row r="408" spans="1:17" ht="16.5">
      <c r="B408" s="7"/>
      <c r="C408" s="7"/>
      <c r="D408" s="7"/>
      <c r="E408" s="7"/>
      <c r="F408" s="7"/>
      <c r="G408" s="7"/>
      <c r="H408" s="7"/>
      <c r="I408" s="109" t="s">
        <v>1829</v>
      </c>
      <c r="J408" s="113"/>
      <c r="K408" s="114" t="s">
        <v>1830</v>
      </c>
    </row>
    <row r="409" spans="1:17" ht="16.5">
      <c r="A409" t="s">
        <v>828</v>
      </c>
      <c r="B409" s="7"/>
      <c r="C409" s="7" t="s">
        <v>1329</v>
      </c>
      <c r="D409" s="7"/>
      <c r="E409" s="61" t="s">
        <v>823</v>
      </c>
      <c r="F409" s="61" t="s">
        <v>823</v>
      </c>
      <c r="G409" s="104"/>
      <c r="H409" s="105" t="e">
        <f>#REF!+1</f>
        <v>#REF!</v>
      </c>
      <c r="I409" s="106" t="s">
        <v>1831</v>
      </c>
      <c r="J409" s="122"/>
      <c r="K409" s="108" t="s">
        <v>1832</v>
      </c>
      <c r="L409" s="59" t="s">
        <v>1833</v>
      </c>
      <c r="M409" s="51" t="s">
        <v>1834</v>
      </c>
      <c r="N409" s="82"/>
      <c r="O409" s="90" t="s">
        <v>1329</v>
      </c>
      <c r="P409" s="82"/>
      <c r="Q409" s="3"/>
    </row>
    <row r="410" spans="1:17" ht="16.5">
      <c r="B410" s="7"/>
      <c r="C410" s="7"/>
      <c r="D410" s="7"/>
      <c r="E410" s="7"/>
      <c r="F410" s="7"/>
      <c r="G410" s="7"/>
      <c r="H410" s="7"/>
      <c r="I410" s="109" t="s">
        <v>1835</v>
      </c>
      <c r="J410" s="5"/>
      <c r="K410" s="114"/>
    </row>
    <row r="411" spans="1:17" ht="16.5">
      <c r="B411" s="7" t="s">
        <v>821</v>
      </c>
      <c r="C411" s="7" t="s">
        <v>1051</v>
      </c>
      <c r="D411" s="7"/>
      <c r="E411" s="7"/>
      <c r="F411" s="7"/>
      <c r="G411" s="7"/>
      <c r="H411" s="7"/>
      <c r="I411" s="113" t="s">
        <v>1836</v>
      </c>
      <c r="J411" s="113" t="s">
        <v>1837</v>
      </c>
      <c r="K411" s="8" t="s">
        <v>1838</v>
      </c>
    </row>
    <row r="412" spans="1:17" ht="16.5">
      <c r="A412" t="s">
        <v>828</v>
      </c>
      <c r="B412" s="7"/>
      <c r="C412" s="120" t="s">
        <v>825</v>
      </c>
      <c r="D412" s="7"/>
      <c r="E412" s="41" t="s">
        <v>823</v>
      </c>
      <c r="F412" s="41" t="s">
        <v>823</v>
      </c>
      <c r="G412" s="3"/>
      <c r="H412" s="46" t="e">
        <f>#REF!+1</f>
        <v>#REF!</v>
      </c>
      <c r="I412" s="106" t="s">
        <v>1839</v>
      </c>
      <c r="J412" s="106"/>
      <c r="K412" s="149" t="s">
        <v>1840</v>
      </c>
      <c r="L412" s="3"/>
      <c r="M412" s="51" t="s">
        <v>1841</v>
      </c>
      <c r="N412" s="82"/>
      <c r="O412" s="82" t="s">
        <v>825</v>
      </c>
      <c r="P412" s="82"/>
      <c r="Q412" s="3"/>
    </row>
    <row r="413" spans="1:17" ht="16.5">
      <c r="A413" t="s">
        <v>828</v>
      </c>
      <c r="B413" s="7"/>
      <c r="C413" s="120" t="s">
        <v>825</v>
      </c>
      <c r="D413" s="7"/>
      <c r="E413" s="41" t="s">
        <v>823</v>
      </c>
      <c r="F413" s="41" t="s">
        <v>823</v>
      </c>
      <c r="G413" s="3"/>
      <c r="H413" s="46" t="e">
        <f>H412+1</f>
        <v>#REF!</v>
      </c>
      <c r="I413" s="106" t="s">
        <v>1839</v>
      </c>
      <c r="J413" s="106"/>
      <c r="K413" s="149" t="s">
        <v>1842</v>
      </c>
      <c r="L413" s="3"/>
      <c r="M413" s="51" t="s">
        <v>1843</v>
      </c>
      <c r="N413" s="82"/>
      <c r="O413" s="82" t="s">
        <v>825</v>
      </c>
      <c r="P413" s="82"/>
      <c r="Q413" s="3"/>
    </row>
    <row r="414" spans="1:17" ht="16.5">
      <c r="A414" t="s">
        <v>828</v>
      </c>
      <c r="B414" s="7"/>
      <c r="C414" s="120" t="s">
        <v>829</v>
      </c>
      <c r="D414" s="7"/>
      <c r="E414" s="41" t="s">
        <v>823</v>
      </c>
      <c r="F414" s="41" t="s">
        <v>823</v>
      </c>
      <c r="G414" s="3"/>
      <c r="H414" s="46" t="e">
        <f>H413+1</f>
        <v>#REF!</v>
      </c>
      <c r="I414" s="106" t="s">
        <v>1839</v>
      </c>
      <c r="J414" s="106"/>
      <c r="K414" s="149" t="s">
        <v>1022</v>
      </c>
      <c r="L414" s="3"/>
      <c r="M414" s="51" t="s">
        <v>1023</v>
      </c>
      <c r="N414" s="82"/>
      <c r="O414" s="82" t="s">
        <v>829</v>
      </c>
      <c r="P414" s="82"/>
      <c r="Q414" s="3"/>
    </row>
    <row r="415" spans="1:17" ht="16.5">
      <c r="A415" t="s">
        <v>828</v>
      </c>
      <c r="B415" s="7"/>
      <c r="C415" s="120" t="s">
        <v>854</v>
      </c>
      <c r="D415" s="7"/>
      <c r="E415" s="41" t="s">
        <v>823</v>
      </c>
      <c r="F415" s="41" t="s">
        <v>823</v>
      </c>
      <c r="G415" s="3"/>
      <c r="H415" s="46" t="e">
        <f>H414+1</f>
        <v>#REF!</v>
      </c>
      <c r="I415" s="106" t="s">
        <v>1839</v>
      </c>
      <c r="J415" s="106"/>
      <c r="K415" s="149" t="s">
        <v>1844</v>
      </c>
      <c r="L415" s="3"/>
      <c r="M415" s="51" t="s">
        <v>1845</v>
      </c>
      <c r="N415" s="82"/>
      <c r="O415" s="82" t="s">
        <v>854</v>
      </c>
      <c r="P415" s="82"/>
      <c r="Q415" s="3"/>
    </row>
    <row r="416" spans="1:17" ht="16.5">
      <c r="A416" t="s">
        <v>828</v>
      </c>
      <c r="B416" s="7"/>
      <c r="C416" s="120" t="s">
        <v>1846</v>
      </c>
      <c r="D416" s="7"/>
      <c r="E416" s="41" t="s">
        <v>823</v>
      </c>
      <c r="F416" s="41" t="s">
        <v>823</v>
      </c>
      <c r="G416" s="3"/>
      <c r="H416" s="46" t="e">
        <f>H415+1</f>
        <v>#REF!</v>
      </c>
      <c r="I416" s="106" t="s">
        <v>1839</v>
      </c>
      <c r="J416" s="106"/>
      <c r="K416" s="149" t="s">
        <v>1449</v>
      </c>
      <c r="L416" s="3"/>
      <c r="M416" s="51" t="s">
        <v>1450</v>
      </c>
      <c r="N416" s="82"/>
      <c r="O416" s="82" t="s">
        <v>1846</v>
      </c>
      <c r="P416" s="82"/>
      <c r="Q416" s="3"/>
    </row>
    <row r="417" spans="1:17" ht="16.5">
      <c r="B417" s="7"/>
      <c r="C417" s="7"/>
      <c r="D417" s="7"/>
      <c r="E417" s="7"/>
      <c r="F417" s="7"/>
      <c r="G417" s="7"/>
      <c r="H417" s="7"/>
      <c r="I417" s="109" t="s">
        <v>1847</v>
      </c>
      <c r="J417" s="113"/>
      <c r="K417" s="114" t="s">
        <v>1848</v>
      </c>
    </row>
    <row r="418" spans="1:17" ht="16.5">
      <c r="A418" t="s">
        <v>1342</v>
      </c>
      <c r="B418" s="7" t="s">
        <v>821</v>
      </c>
      <c r="C418" s="7"/>
      <c r="D418" s="7"/>
      <c r="E418" s="7"/>
      <c r="F418" s="7"/>
      <c r="G418" s="7"/>
      <c r="H418" s="7"/>
      <c r="I418" s="109" t="s">
        <v>1849</v>
      </c>
      <c r="J418" s="113" t="s">
        <v>1850</v>
      </c>
      <c r="K418" s="114" t="s">
        <v>1851</v>
      </c>
    </row>
    <row r="419" spans="1:17" ht="16.5">
      <c r="B419" s="7"/>
      <c r="C419" s="7"/>
      <c r="D419" s="7"/>
      <c r="E419" s="7"/>
      <c r="F419" s="7"/>
      <c r="G419" s="7"/>
      <c r="H419" s="7"/>
      <c r="I419" s="109" t="s">
        <v>1852</v>
      </c>
      <c r="J419" s="113"/>
      <c r="K419" s="114" t="s">
        <v>1853</v>
      </c>
    </row>
    <row r="420" spans="1:17" ht="16.5">
      <c r="B420" s="7"/>
      <c r="C420" s="7"/>
      <c r="D420" s="7"/>
      <c r="E420" s="7"/>
      <c r="F420" s="7"/>
      <c r="G420" s="7"/>
      <c r="H420" s="7"/>
      <c r="I420" s="109" t="s">
        <v>1854</v>
      </c>
      <c r="J420" s="5" t="s">
        <v>1855</v>
      </c>
      <c r="K420" s="114"/>
    </row>
    <row r="421" spans="1:17" ht="16.5">
      <c r="A421" t="s">
        <v>828</v>
      </c>
      <c r="B421" s="7"/>
      <c r="C421" s="7" t="s">
        <v>854</v>
      </c>
      <c r="D421" s="7"/>
      <c r="E421" s="61" t="s">
        <v>823</v>
      </c>
      <c r="F421" s="61" t="s">
        <v>823</v>
      </c>
      <c r="G421" s="104"/>
      <c r="H421" s="105" t="e">
        <f>#REF!+1</f>
        <v>#REF!</v>
      </c>
      <c r="I421" s="106" t="s">
        <v>1856</v>
      </c>
      <c r="J421" s="168" t="s">
        <v>1857</v>
      </c>
      <c r="K421" s="108" t="s">
        <v>1858</v>
      </c>
      <c r="L421" s="59" t="s">
        <v>1859</v>
      </c>
      <c r="M421" s="51" t="s">
        <v>1860</v>
      </c>
      <c r="N421" s="82"/>
      <c r="O421" s="90" t="s">
        <v>854</v>
      </c>
      <c r="P421" s="82"/>
      <c r="Q421" s="3"/>
    </row>
    <row r="422" spans="1:17" ht="16.5">
      <c r="B422" s="7"/>
      <c r="C422" s="7" t="s">
        <v>1861</v>
      </c>
      <c r="D422" s="7"/>
      <c r="E422" s="7"/>
      <c r="F422" s="7"/>
      <c r="G422" s="7"/>
      <c r="H422" s="7"/>
      <c r="I422" s="193" t="s">
        <v>1862</v>
      </c>
      <c r="J422" s="131" t="s">
        <v>1863</v>
      </c>
      <c r="K422" s="114" t="s">
        <v>1864</v>
      </c>
    </row>
    <row r="423" spans="1:17" ht="16.5">
      <c r="B423" s="7"/>
      <c r="C423" s="7" t="s">
        <v>1051</v>
      </c>
      <c r="D423" s="7"/>
      <c r="E423" s="7"/>
      <c r="F423" s="7"/>
      <c r="G423" s="7"/>
      <c r="H423" s="7"/>
      <c r="I423" s="16" t="s">
        <v>1865</v>
      </c>
      <c r="J423" s="109" t="s">
        <v>1866</v>
      </c>
      <c r="K423" s="192" t="s">
        <v>1867</v>
      </c>
    </row>
    <row r="424" spans="1:17" ht="16.5" customHeight="1">
      <c r="B424" s="7"/>
      <c r="C424" s="7"/>
      <c r="D424" s="7"/>
      <c r="E424" s="7"/>
      <c r="F424" s="7"/>
      <c r="G424" s="7"/>
      <c r="H424" s="7"/>
      <c r="I424" s="110" t="s">
        <v>1868</v>
      </c>
      <c r="J424" s="111"/>
      <c r="K424" s="119" t="s">
        <v>1869</v>
      </c>
    </row>
    <row r="425" spans="1:17" ht="16.5" customHeight="1">
      <c r="A425" t="s">
        <v>1310</v>
      </c>
      <c r="B425" s="7"/>
      <c r="C425" s="7" t="s">
        <v>829</v>
      </c>
      <c r="D425" s="120"/>
      <c r="E425" s="7"/>
      <c r="F425" s="7"/>
      <c r="G425" s="7"/>
      <c r="H425" s="7"/>
      <c r="I425" s="109" t="s">
        <v>1870</v>
      </c>
      <c r="J425" s="113" t="s">
        <v>1068</v>
      </c>
      <c r="K425" s="114" t="s">
        <v>1871</v>
      </c>
    </row>
    <row r="426" spans="1:17" ht="16.5">
      <c r="A426" t="s">
        <v>828</v>
      </c>
      <c r="B426" s="7"/>
      <c r="C426" s="7" t="s">
        <v>829</v>
      </c>
      <c r="D426" s="7"/>
      <c r="E426" s="61" t="s">
        <v>823</v>
      </c>
      <c r="F426" s="61" t="s">
        <v>823</v>
      </c>
      <c r="G426" s="104"/>
      <c r="H426" s="105" t="e">
        <f>#REF!+1</f>
        <v>#REF!</v>
      </c>
      <c r="I426" s="106" t="s">
        <v>1870</v>
      </c>
      <c r="J426" s="107"/>
      <c r="K426" s="108" t="s">
        <v>1871</v>
      </c>
      <c r="L426" s="59" t="s">
        <v>1872</v>
      </c>
      <c r="M426" s="51" t="s">
        <v>1873</v>
      </c>
      <c r="N426" s="82"/>
      <c r="O426" s="90" t="s">
        <v>829</v>
      </c>
      <c r="P426" s="82"/>
      <c r="Q426" s="3"/>
    </row>
    <row r="427" spans="1:17" ht="16.5">
      <c r="A427" t="s">
        <v>1361</v>
      </c>
      <c r="B427" s="7"/>
      <c r="C427" s="7"/>
      <c r="D427" s="7"/>
      <c r="E427" s="7"/>
      <c r="F427" s="7"/>
      <c r="G427" s="7"/>
      <c r="H427" s="7"/>
      <c r="I427" s="109" t="s">
        <v>1874</v>
      </c>
      <c r="J427" s="113"/>
      <c r="K427" s="114" t="s">
        <v>1875</v>
      </c>
    </row>
    <row r="428" spans="1:17" ht="16.5">
      <c r="B428" s="7"/>
      <c r="C428" s="120" t="s">
        <v>825</v>
      </c>
      <c r="D428" s="120"/>
      <c r="E428" s="7"/>
      <c r="F428" s="7"/>
      <c r="G428" s="7"/>
      <c r="H428" s="7"/>
      <c r="I428" s="109" t="s">
        <v>1876</v>
      </c>
      <c r="J428" s="109" t="s">
        <v>1877</v>
      </c>
      <c r="K428" s="132" t="s">
        <v>1878</v>
      </c>
    </row>
    <row r="429" spans="1:17" ht="16.5">
      <c r="A429" t="s">
        <v>828</v>
      </c>
      <c r="B429" s="7"/>
      <c r="C429" s="7"/>
      <c r="D429" s="7"/>
      <c r="E429" s="61" t="s">
        <v>823</v>
      </c>
      <c r="F429" s="61" t="s">
        <v>823</v>
      </c>
      <c r="G429" s="104"/>
      <c r="H429" s="105" t="e">
        <f>#REF!+1</f>
        <v>#REF!</v>
      </c>
      <c r="I429" s="106" t="s">
        <v>1876</v>
      </c>
      <c r="J429" s="106" t="s">
        <v>1877</v>
      </c>
      <c r="K429" s="149" t="s">
        <v>1878</v>
      </c>
      <c r="L429" s="59" t="s">
        <v>1875</v>
      </c>
      <c r="M429" s="60" t="s">
        <v>1879</v>
      </c>
      <c r="N429" s="82"/>
      <c r="O429" s="82" t="s">
        <v>825</v>
      </c>
      <c r="P429" s="82"/>
      <c r="Q429" s="3"/>
    </row>
    <row r="430" spans="1:17" ht="16.5">
      <c r="B430" s="7"/>
      <c r="C430" s="7"/>
      <c r="D430" s="120"/>
      <c r="E430" s="7"/>
      <c r="F430" s="7"/>
      <c r="G430" s="7"/>
      <c r="H430" s="7"/>
      <c r="I430" s="109" t="s">
        <v>1880</v>
      </c>
      <c r="J430" s="111"/>
      <c r="K430" s="114"/>
    </row>
    <row r="431" spans="1:17" ht="16.5">
      <c r="A431" t="s">
        <v>828</v>
      </c>
      <c r="B431" s="7"/>
      <c r="C431" s="7"/>
      <c r="D431" s="7"/>
      <c r="E431" s="61" t="s">
        <v>823</v>
      </c>
      <c r="F431" s="61" t="s">
        <v>823</v>
      </c>
      <c r="G431" s="104"/>
      <c r="H431" s="105"/>
      <c r="I431" s="104" t="s">
        <v>1880</v>
      </c>
      <c r="J431" s="122"/>
      <c r="K431" s="108"/>
      <c r="L431" s="59"/>
      <c r="M431" s="51"/>
      <c r="N431" s="82"/>
      <c r="O431" s="90"/>
      <c r="P431" s="82"/>
      <c r="Q431" s="3"/>
    </row>
    <row r="432" spans="1:17" ht="16.5">
      <c r="B432" s="7"/>
      <c r="C432" s="120" t="s">
        <v>1611</v>
      </c>
      <c r="D432" s="120"/>
      <c r="E432" s="7"/>
      <c r="F432" s="7"/>
      <c r="G432" s="7"/>
      <c r="H432" s="7"/>
      <c r="I432" s="109" t="s">
        <v>1881</v>
      </c>
      <c r="J432" s="111"/>
      <c r="K432" s="114"/>
    </row>
    <row r="433" spans="1:19" ht="16.5">
      <c r="A433" t="s">
        <v>828</v>
      </c>
      <c r="B433" s="7"/>
      <c r="C433" s="7"/>
      <c r="D433" s="7"/>
      <c r="E433" s="61" t="s">
        <v>823</v>
      </c>
      <c r="F433" s="61" t="s">
        <v>823</v>
      </c>
      <c r="G433" s="104"/>
      <c r="H433" s="105"/>
      <c r="I433" s="121" t="s">
        <v>1881</v>
      </c>
      <c r="J433" s="122"/>
      <c r="K433" s="108"/>
      <c r="L433" s="3"/>
      <c r="M433" s="52" t="s">
        <v>1882</v>
      </c>
      <c r="N433" s="52" t="s">
        <v>1883</v>
      </c>
      <c r="O433" s="52" t="s">
        <v>1611</v>
      </c>
      <c r="P433" s="82"/>
      <c r="Q433" s="3"/>
      <c r="S433" t="s">
        <v>878</v>
      </c>
    </row>
    <row r="434" spans="1:19" ht="16.5" customHeight="1">
      <c r="B434" s="7"/>
      <c r="C434" s="7"/>
      <c r="D434" s="7"/>
      <c r="E434" s="7" t="s">
        <v>1007</v>
      </c>
      <c r="F434" s="7"/>
      <c r="G434" s="7"/>
      <c r="H434" s="7"/>
      <c r="I434" s="109" t="s">
        <v>1884</v>
      </c>
      <c r="J434" s="113"/>
      <c r="K434" s="116"/>
    </row>
    <row r="435" spans="1:19" ht="16.5" customHeight="1">
      <c r="A435" t="s">
        <v>1361</v>
      </c>
      <c r="B435" s="7"/>
      <c r="C435" s="7"/>
      <c r="D435" s="7" t="s">
        <v>1362</v>
      </c>
      <c r="E435" s="112"/>
      <c r="F435" s="112"/>
      <c r="G435" s="112"/>
      <c r="H435" s="112"/>
      <c r="I435" s="109" t="s">
        <v>1885</v>
      </c>
      <c r="J435" s="113"/>
      <c r="K435" s="114"/>
    </row>
    <row r="436" spans="1:19" ht="16.5" customHeight="1">
      <c r="B436" s="7" t="s">
        <v>821</v>
      </c>
      <c r="C436" s="7" t="s">
        <v>1886</v>
      </c>
      <c r="D436" s="7"/>
      <c r="E436" s="112" t="s">
        <v>964</v>
      </c>
      <c r="F436" s="112"/>
      <c r="G436" s="112"/>
      <c r="H436" s="112"/>
      <c r="I436" s="109" t="s">
        <v>1887</v>
      </c>
      <c r="J436" s="113"/>
      <c r="K436" s="114"/>
    </row>
    <row r="437" spans="1:19" ht="16.5">
      <c r="B437" s="7"/>
      <c r="C437" s="7"/>
      <c r="D437" s="7"/>
      <c r="E437" s="7"/>
      <c r="F437" s="7"/>
      <c r="G437" s="7"/>
      <c r="H437" s="7"/>
      <c r="I437" s="109" t="s">
        <v>1888</v>
      </c>
      <c r="J437" s="113"/>
      <c r="K437" s="8" t="s">
        <v>1889</v>
      </c>
    </row>
    <row r="438" spans="1:19" ht="16.5">
      <c r="B438" s="7"/>
      <c r="C438" s="7"/>
      <c r="D438" s="7"/>
      <c r="E438" s="7"/>
      <c r="F438" s="7"/>
      <c r="G438" s="117" t="s">
        <v>559</v>
      </c>
      <c r="H438" s="7"/>
      <c r="I438" s="109" t="s">
        <v>1890</v>
      </c>
      <c r="J438" s="113"/>
      <c r="K438" s="114"/>
    </row>
    <row r="439" spans="1:19" ht="16.5">
      <c r="B439" s="7"/>
      <c r="C439" s="7" t="s">
        <v>1891</v>
      </c>
      <c r="D439" s="7"/>
      <c r="E439" s="7"/>
      <c r="F439" s="7"/>
      <c r="G439" s="7"/>
      <c r="H439" s="7"/>
      <c r="I439" s="109" t="s">
        <v>1892</v>
      </c>
      <c r="J439" s="156" t="s">
        <v>1893</v>
      </c>
      <c r="K439" s="114" t="s">
        <v>1894</v>
      </c>
    </row>
    <row r="440" spans="1:19" ht="16.5" customHeight="1">
      <c r="B440" s="7"/>
      <c r="C440" s="7" t="s">
        <v>1051</v>
      </c>
      <c r="D440" s="7"/>
      <c r="E440" s="7"/>
      <c r="F440" s="7"/>
      <c r="G440" s="7"/>
      <c r="H440" s="7"/>
      <c r="I440" s="109" t="s">
        <v>1895</v>
      </c>
      <c r="J440" s="113" t="s">
        <v>1896</v>
      </c>
      <c r="K440" s="116"/>
    </row>
    <row r="441" spans="1:19" ht="16.5" customHeight="1">
      <c r="B441" s="7"/>
      <c r="C441" s="7"/>
      <c r="D441" s="7"/>
      <c r="E441" s="7"/>
      <c r="F441" s="7"/>
      <c r="G441" s="7"/>
      <c r="H441" s="7"/>
      <c r="I441" s="109" t="s">
        <v>1897</v>
      </c>
      <c r="J441" s="113"/>
      <c r="K441" s="114"/>
    </row>
    <row r="442" spans="1:19" ht="16.5">
      <c r="B442" s="7"/>
      <c r="C442" s="7"/>
      <c r="D442" s="7"/>
      <c r="E442" s="7"/>
      <c r="F442" s="7"/>
      <c r="G442" s="117" t="s">
        <v>559</v>
      </c>
      <c r="H442" s="7"/>
      <c r="I442" s="109" t="s">
        <v>1898</v>
      </c>
      <c r="J442" s="113"/>
      <c r="K442" s="114"/>
    </row>
    <row r="443" spans="1:19" ht="16.5">
      <c r="A443" t="s">
        <v>828</v>
      </c>
      <c r="B443" s="7"/>
      <c r="C443" s="7" t="s">
        <v>1899</v>
      </c>
      <c r="D443" s="7"/>
      <c r="E443" s="61" t="s">
        <v>823</v>
      </c>
      <c r="F443" s="61" t="s">
        <v>823</v>
      </c>
      <c r="G443" s="104"/>
      <c r="H443" s="105" t="e">
        <f>#REF!+1</f>
        <v>#REF!</v>
      </c>
      <c r="I443" s="124" t="s">
        <v>1900</v>
      </c>
      <c r="J443" s="71" t="s">
        <v>1901</v>
      </c>
      <c r="K443" s="108">
        <v>13108095134</v>
      </c>
      <c r="L443" s="81" t="s">
        <v>1902</v>
      </c>
      <c r="M443" s="51"/>
      <c r="N443" s="82"/>
      <c r="O443" s="90" t="s">
        <v>1899</v>
      </c>
      <c r="P443" s="82"/>
      <c r="Q443" s="3"/>
    </row>
    <row r="444" spans="1:19" ht="16.5">
      <c r="B444" s="7"/>
      <c r="C444" s="7"/>
      <c r="D444" s="7"/>
      <c r="E444" s="7"/>
      <c r="F444" s="7"/>
      <c r="G444" s="7"/>
      <c r="H444" s="7"/>
      <c r="I444" s="109" t="s">
        <v>1903</v>
      </c>
      <c r="J444" s="113"/>
      <c r="K444" s="114" t="s">
        <v>1904</v>
      </c>
    </row>
    <row r="445" spans="1:19" ht="16.5">
      <c r="B445" s="7"/>
      <c r="C445" s="7"/>
      <c r="D445" s="7"/>
      <c r="E445" s="7"/>
      <c r="F445" s="7"/>
      <c r="G445" s="7"/>
      <c r="H445" s="7"/>
      <c r="I445" s="109" t="s">
        <v>1905</v>
      </c>
      <c r="J445" s="113"/>
      <c r="K445" s="114" t="s">
        <v>1906</v>
      </c>
    </row>
    <row r="446" spans="1:19" ht="16.5" customHeight="1">
      <c r="B446" s="7"/>
      <c r="C446" s="7"/>
      <c r="D446" s="7"/>
      <c r="E446" s="7"/>
      <c r="F446" s="7"/>
      <c r="G446" s="7"/>
      <c r="H446" s="7"/>
      <c r="I446" s="109" t="s">
        <v>1907</v>
      </c>
      <c r="J446" s="109" t="s">
        <v>1908</v>
      </c>
      <c r="K446" s="116" t="s">
        <v>1909</v>
      </c>
    </row>
    <row r="447" spans="1:19" ht="16.5">
      <c r="A447" t="s">
        <v>828</v>
      </c>
      <c r="B447" s="7" t="s">
        <v>816</v>
      </c>
      <c r="C447" s="7" t="s">
        <v>829</v>
      </c>
      <c r="D447" s="7"/>
      <c r="E447" s="61" t="s">
        <v>823</v>
      </c>
      <c r="F447" s="61" t="s">
        <v>823</v>
      </c>
      <c r="G447" s="104" t="s">
        <v>910</v>
      </c>
      <c r="H447" s="105" t="e">
        <f>#REF!+1</f>
        <v>#REF!</v>
      </c>
      <c r="I447" s="124" t="s">
        <v>1910</v>
      </c>
      <c r="J447" s="123" t="s">
        <v>1911</v>
      </c>
      <c r="K447" s="108" t="s">
        <v>1912</v>
      </c>
      <c r="L447" s="59"/>
      <c r="M447" s="51"/>
      <c r="N447" s="82"/>
      <c r="O447" s="90" t="s">
        <v>829</v>
      </c>
      <c r="P447" s="82" t="s">
        <v>821</v>
      </c>
      <c r="Q447" s="3"/>
    </row>
    <row r="448" spans="1:19" ht="16.5">
      <c r="B448" s="7"/>
      <c r="C448" s="7" t="s">
        <v>832</v>
      </c>
      <c r="D448" s="7" t="s">
        <v>1007</v>
      </c>
      <c r="E448" s="112"/>
      <c r="F448" s="112"/>
      <c r="G448" s="112"/>
      <c r="H448" s="112"/>
      <c r="I448" s="109" t="s">
        <v>1913</v>
      </c>
      <c r="J448" s="156" t="s">
        <v>1914</v>
      </c>
      <c r="K448" s="114" t="s">
        <v>1915</v>
      </c>
    </row>
    <row r="449" spans="1:17" ht="16.5">
      <c r="B449" s="7"/>
      <c r="C449" s="7"/>
      <c r="D449" s="7"/>
      <c r="E449" s="7"/>
      <c r="F449" s="7"/>
      <c r="G449" s="7"/>
      <c r="H449" s="7"/>
      <c r="I449" s="109" t="s">
        <v>1916</v>
      </c>
      <c r="J449" s="113"/>
      <c r="K449" s="114" t="s">
        <v>1917</v>
      </c>
    </row>
    <row r="450" spans="1:17" ht="16.5">
      <c r="B450" s="7"/>
      <c r="C450" s="7"/>
      <c r="D450" s="7"/>
      <c r="E450" s="7"/>
      <c r="F450" s="7"/>
      <c r="G450" s="7"/>
      <c r="H450" s="7"/>
      <c r="I450" s="109" t="s">
        <v>1918</v>
      </c>
      <c r="J450" s="113" t="s">
        <v>1825</v>
      </c>
      <c r="K450" s="114"/>
    </row>
    <row r="451" spans="1:17" ht="18">
      <c r="B451" s="7"/>
      <c r="C451" s="7"/>
      <c r="D451" s="7"/>
      <c r="E451" s="7"/>
      <c r="F451" s="7"/>
      <c r="G451" s="7"/>
      <c r="H451" s="7"/>
      <c r="I451" s="110" t="s">
        <v>1919</v>
      </c>
      <c r="J451" s="151"/>
      <c r="K451" s="119" t="s">
        <v>1920</v>
      </c>
    </row>
    <row r="452" spans="1:17" ht="16.5">
      <c r="B452" s="7"/>
      <c r="C452" s="7" t="s">
        <v>856</v>
      </c>
      <c r="D452" s="7"/>
      <c r="E452" s="7"/>
      <c r="F452" s="7"/>
      <c r="G452" s="7"/>
      <c r="H452" s="7"/>
      <c r="I452" s="109" t="s">
        <v>1921</v>
      </c>
      <c r="J452" s="18" t="s">
        <v>1922</v>
      </c>
      <c r="K452" s="114" t="s">
        <v>1923</v>
      </c>
    </row>
    <row r="453" spans="1:17" ht="16.5">
      <c r="A453" t="s">
        <v>1361</v>
      </c>
      <c r="B453" s="7" t="s">
        <v>850</v>
      </c>
      <c r="C453" s="7" t="s">
        <v>822</v>
      </c>
      <c r="D453" s="7"/>
      <c r="E453" s="7" t="s">
        <v>964</v>
      </c>
      <c r="F453" s="7"/>
      <c r="G453" s="7"/>
      <c r="H453" s="7"/>
      <c r="I453" s="109" t="s">
        <v>1924</v>
      </c>
      <c r="J453" s="113" t="s">
        <v>1925</v>
      </c>
      <c r="K453" s="114" t="s">
        <v>1926</v>
      </c>
    </row>
    <row r="454" spans="1:17" ht="16.5" customHeight="1">
      <c r="B454" s="7"/>
      <c r="C454" s="7"/>
      <c r="D454" s="7"/>
      <c r="E454" s="7"/>
      <c r="F454" s="7"/>
      <c r="G454" s="7"/>
      <c r="H454" s="7"/>
      <c r="I454" s="155" t="s">
        <v>1927</v>
      </c>
      <c r="J454" s="115" t="s">
        <v>964</v>
      </c>
      <c r="K454" s="114"/>
    </row>
    <row r="455" spans="1:17" ht="16.5">
      <c r="A455" t="s">
        <v>828</v>
      </c>
      <c r="B455" s="7"/>
      <c r="C455" s="7"/>
      <c r="D455" s="7"/>
      <c r="E455" s="61" t="s">
        <v>823</v>
      </c>
      <c r="F455" s="61" t="s">
        <v>823</v>
      </c>
      <c r="G455" s="104"/>
      <c r="H455" s="105"/>
      <c r="I455" s="121" t="s">
        <v>1928</v>
      </c>
      <c r="J455" s="123" t="s">
        <v>1929</v>
      </c>
      <c r="K455" s="140" t="s">
        <v>1930</v>
      </c>
      <c r="L455" s="59" t="s">
        <v>1931</v>
      </c>
      <c r="M455" s="51" t="s">
        <v>1932</v>
      </c>
      <c r="N455" s="82" t="s">
        <v>1933</v>
      </c>
      <c r="O455" s="90"/>
      <c r="P455" s="82"/>
      <c r="Q455" s="3"/>
    </row>
    <row r="456" spans="1:17" ht="16.5">
      <c r="B456" s="7"/>
      <c r="C456" s="7"/>
      <c r="D456" s="7"/>
      <c r="E456" s="7"/>
      <c r="F456" s="7"/>
      <c r="G456" s="7"/>
      <c r="H456" s="7"/>
      <c r="I456" s="109" t="s">
        <v>1934</v>
      </c>
      <c r="J456" s="113" t="s">
        <v>1068</v>
      </c>
      <c r="K456" s="114"/>
    </row>
    <row r="457" spans="1:17" ht="16.5">
      <c r="B457" s="7"/>
      <c r="C457" s="7"/>
      <c r="D457" s="7"/>
      <c r="E457" s="7"/>
      <c r="F457" s="7"/>
      <c r="G457" s="7"/>
      <c r="H457" s="7"/>
      <c r="I457" s="194" t="s">
        <v>1935</v>
      </c>
      <c r="J457" s="17" t="s">
        <v>1936</v>
      </c>
      <c r="K457" s="9" t="s">
        <v>1937</v>
      </c>
    </row>
    <row r="458" spans="1:17" ht="16.5">
      <c r="B458" s="7" t="s">
        <v>821</v>
      </c>
      <c r="C458" s="7"/>
      <c r="D458" s="7"/>
      <c r="E458" s="7"/>
      <c r="F458" s="7"/>
      <c r="G458" s="7"/>
      <c r="H458" s="7"/>
      <c r="I458" s="109" t="s">
        <v>1938</v>
      </c>
      <c r="J458" s="18" t="s">
        <v>1939</v>
      </c>
      <c r="K458" s="114" t="s">
        <v>1940</v>
      </c>
    </row>
    <row r="459" spans="1:17" ht="16.5">
      <c r="A459" t="s">
        <v>828</v>
      </c>
      <c r="B459" s="7"/>
      <c r="C459" s="7" t="s">
        <v>1941</v>
      </c>
      <c r="D459" s="7"/>
      <c r="E459" s="61" t="s">
        <v>823</v>
      </c>
      <c r="F459" s="61" t="s">
        <v>823</v>
      </c>
      <c r="G459" s="104"/>
      <c r="H459" s="105" t="e">
        <f>#REF!+1</f>
        <v>#REF!</v>
      </c>
      <c r="I459" s="106" t="s">
        <v>1942</v>
      </c>
      <c r="J459" s="139" t="s">
        <v>1943</v>
      </c>
      <c r="K459" s="79" t="s">
        <v>1944</v>
      </c>
      <c r="L459" s="80"/>
      <c r="M459" s="51"/>
      <c r="N459" s="82"/>
      <c r="O459" s="90" t="s">
        <v>1941</v>
      </c>
      <c r="P459" s="82"/>
      <c r="Q459" s="3"/>
    </row>
    <row r="460" spans="1:17" ht="16.5">
      <c r="A460" t="s">
        <v>1361</v>
      </c>
      <c r="B460" s="7" t="s">
        <v>850</v>
      </c>
      <c r="C460" s="7"/>
      <c r="D460" s="7"/>
      <c r="E460" s="7" t="s">
        <v>964</v>
      </c>
      <c r="F460" s="7"/>
      <c r="G460" s="7"/>
      <c r="H460" s="7"/>
      <c r="I460" s="109" t="s">
        <v>641</v>
      </c>
      <c r="J460" s="113"/>
      <c r="K460" s="114"/>
    </row>
    <row r="461" spans="1:17" ht="16.5">
      <c r="B461" s="7"/>
      <c r="C461" s="7"/>
      <c r="D461" s="7"/>
      <c r="E461" s="7"/>
      <c r="F461" s="7"/>
      <c r="G461" s="7"/>
      <c r="H461" s="7"/>
      <c r="I461" s="11" t="s">
        <v>1945</v>
      </c>
      <c r="J461" s="113" t="s">
        <v>3</v>
      </c>
      <c r="K461" s="132" t="s">
        <v>1946</v>
      </c>
    </row>
    <row r="462" spans="1:17" ht="16.5">
      <c r="B462" s="7"/>
      <c r="C462" s="7"/>
      <c r="D462" s="7"/>
      <c r="E462" s="7"/>
      <c r="F462" s="7"/>
      <c r="G462" s="7"/>
      <c r="H462" s="7"/>
      <c r="I462" s="109" t="s">
        <v>1947</v>
      </c>
      <c r="J462" s="113" t="s">
        <v>1948</v>
      </c>
      <c r="K462" s="114"/>
    </row>
    <row r="463" spans="1:17" ht="16.5">
      <c r="B463" s="7"/>
      <c r="C463" s="7"/>
      <c r="D463" s="7"/>
      <c r="E463" s="7"/>
      <c r="F463" s="7"/>
      <c r="G463" s="7"/>
      <c r="H463" s="7"/>
      <c r="I463" s="110" t="s">
        <v>1949</v>
      </c>
      <c r="J463" s="111" t="s">
        <v>1950</v>
      </c>
      <c r="K463" s="9" t="s">
        <v>1951</v>
      </c>
    </row>
    <row r="464" spans="1:17" ht="16.5">
      <c r="B464" s="7"/>
      <c r="C464" s="7"/>
      <c r="D464" s="7"/>
      <c r="E464" s="7" t="s">
        <v>964</v>
      </c>
      <c r="F464" s="7"/>
      <c r="G464" s="7"/>
      <c r="H464" s="7"/>
      <c r="I464" s="109" t="s">
        <v>1952</v>
      </c>
      <c r="J464" s="113"/>
      <c r="K464" s="114" t="s">
        <v>1953</v>
      </c>
    </row>
    <row r="465" spans="1:17" ht="16.5">
      <c r="B465" s="7" t="s">
        <v>1006</v>
      </c>
      <c r="C465" s="7" t="s">
        <v>822</v>
      </c>
      <c r="D465" s="7"/>
      <c r="E465" s="7" t="s">
        <v>964</v>
      </c>
      <c r="F465" s="7"/>
      <c r="G465" s="7"/>
      <c r="H465" s="7"/>
      <c r="I465" s="110" t="s">
        <v>1954</v>
      </c>
      <c r="J465" s="111" t="s">
        <v>1955</v>
      </c>
      <c r="K465" s="9"/>
    </row>
    <row r="466" spans="1:17" ht="16.5">
      <c r="B466" s="7"/>
      <c r="C466" s="7"/>
      <c r="D466" s="7"/>
      <c r="E466" s="7"/>
      <c r="F466" s="7"/>
      <c r="G466" s="7"/>
      <c r="H466" s="7"/>
      <c r="I466" s="109" t="s">
        <v>1956</v>
      </c>
      <c r="J466" s="118">
        <v>43434</v>
      </c>
      <c r="K466" s="114" t="s">
        <v>1061</v>
      </c>
    </row>
    <row r="467" spans="1:17" ht="16.5">
      <c r="A467" t="s">
        <v>1310</v>
      </c>
      <c r="B467" s="7"/>
      <c r="C467" s="7"/>
      <c r="D467" s="7"/>
      <c r="E467" s="7"/>
      <c r="F467" s="7"/>
      <c r="G467" s="7"/>
      <c r="H467" s="7"/>
      <c r="I467" s="110" t="s">
        <v>1957</v>
      </c>
      <c r="J467" s="111"/>
      <c r="K467" s="114" t="s">
        <v>1958</v>
      </c>
    </row>
    <row r="468" spans="1:17" ht="16.5">
      <c r="B468" s="7"/>
      <c r="C468" s="7"/>
      <c r="D468" s="7"/>
      <c r="E468" s="7" t="s">
        <v>1959</v>
      </c>
      <c r="F468" s="7"/>
      <c r="G468" s="7"/>
      <c r="H468" s="7"/>
      <c r="I468" s="109" t="s">
        <v>1960</v>
      </c>
      <c r="J468" s="113"/>
      <c r="K468" s="114"/>
    </row>
    <row r="469" spans="1:17" ht="16.5">
      <c r="B469" s="7" t="s">
        <v>821</v>
      </c>
      <c r="C469" s="7" t="s">
        <v>1961</v>
      </c>
      <c r="D469" s="7"/>
      <c r="E469" s="7" t="s">
        <v>1962</v>
      </c>
      <c r="F469" s="7"/>
      <c r="G469" s="7"/>
      <c r="H469" s="7"/>
      <c r="I469" s="109" t="s">
        <v>1963</v>
      </c>
      <c r="J469" s="113"/>
      <c r="K469" s="114" t="s">
        <v>1964</v>
      </c>
    </row>
    <row r="470" spans="1:17" ht="16.5">
      <c r="B470" s="7"/>
      <c r="C470" s="7" t="s">
        <v>822</v>
      </c>
      <c r="D470" s="7"/>
      <c r="E470" s="7"/>
      <c r="F470" s="7"/>
      <c r="G470" s="7"/>
      <c r="H470" s="7"/>
      <c r="I470" s="109" t="s">
        <v>1965</v>
      </c>
      <c r="J470" s="113" t="s">
        <v>1966</v>
      </c>
      <c r="K470" s="114" t="s">
        <v>1967</v>
      </c>
    </row>
    <row r="471" spans="1:17" ht="16.5" customHeight="1">
      <c r="B471" s="7"/>
      <c r="C471" s="7"/>
      <c r="D471" s="7"/>
      <c r="E471" s="7" t="s">
        <v>826</v>
      </c>
      <c r="F471" s="7"/>
      <c r="G471" s="7"/>
      <c r="H471" s="7"/>
      <c r="I471" s="109" t="s">
        <v>1968</v>
      </c>
      <c r="J471" s="10" t="s">
        <v>1969</v>
      </c>
      <c r="K471" s="116"/>
    </row>
    <row r="472" spans="1:17" ht="16.5" customHeight="1">
      <c r="B472" s="7"/>
      <c r="C472" s="7"/>
      <c r="D472" s="7"/>
      <c r="E472" s="7"/>
      <c r="F472" s="7"/>
      <c r="G472" s="7"/>
      <c r="H472" s="7"/>
      <c r="I472" s="109" t="s">
        <v>1970</v>
      </c>
      <c r="J472" s="109" t="s">
        <v>1971</v>
      </c>
      <c r="K472" s="116"/>
    </row>
    <row r="473" spans="1:17" ht="16.5">
      <c r="B473" s="7"/>
      <c r="C473" s="7"/>
      <c r="D473" s="7"/>
      <c r="E473" s="7" t="s">
        <v>964</v>
      </c>
      <c r="F473" s="7"/>
      <c r="G473" s="7"/>
      <c r="H473" s="7"/>
      <c r="I473" s="109" t="s">
        <v>1972</v>
      </c>
      <c r="J473" s="113"/>
      <c r="K473" s="8" t="s">
        <v>1973</v>
      </c>
    </row>
    <row r="474" spans="1:17" ht="16.5">
      <c r="B474" s="7"/>
      <c r="C474" s="7"/>
      <c r="D474" s="7"/>
      <c r="E474" s="7"/>
      <c r="F474" s="7"/>
      <c r="G474" s="7"/>
      <c r="H474" s="7"/>
      <c r="I474" s="109" t="s">
        <v>1974</v>
      </c>
      <c r="J474" s="113" t="s">
        <v>1975</v>
      </c>
      <c r="K474" s="114"/>
    </row>
    <row r="475" spans="1:17" ht="16.5" customHeight="1">
      <c r="B475" s="7"/>
      <c r="C475" s="7"/>
      <c r="D475" s="7"/>
      <c r="E475" s="7"/>
      <c r="F475" s="7"/>
      <c r="G475" s="7"/>
      <c r="H475" s="7"/>
      <c r="I475" s="109" t="s">
        <v>1976</v>
      </c>
      <c r="J475" s="109" t="s">
        <v>1861</v>
      </c>
      <c r="K475" s="116" t="s">
        <v>1977</v>
      </c>
    </row>
    <row r="476" spans="1:17" ht="16.5">
      <c r="B476" s="7"/>
      <c r="C476" s="7"/>
      <c r="D476" s="7"/>
      <c r="E476" s="7"/>
      <c r="F476" s="7"/>
      <c r="G476" s="7"/>
      <c r="H476" s="7"/>
      <c r="I476" s="113" t="s">
        <v>1978</v>
      </c>
      <c r="J476" s="113"/>
      <c r="K476" s="114"/>
    </row>
    <row r="477" spans="1:17" ht="18">
      <c r="B477" s="7" t="s">
        <v>1979</v>
      </c>
      <c r="C477" s="7"/>
      <c r="D477" s="7"/>
      <c r="E477" s="7"/>
      <c r="F477" s="7"/>
      <c r="G477" s="7"/>
      <c r="H477" s="7"/>
      <c r="I477" s="110" t="s">
        <v>1980</v>
      </c>
      <c r="J477" s="113" t="s">
        <v>1981</v>
      </c>
      <c r="K477" s="114" t="s">
        <v>1982</v>
      </c>
    </row>
    <row r="478" spans="1:17" ht="16.5">
      <c r="A478" t="s">
        <v>828</v>
      </c>
      <c r="B478" s="7" t="s">
        <v>871</v>
      </c>
      <c r="C478" s="7"/>
      <c r="D478" s="7"/>
      <c r="E478" s="61" t="s">
        <v>823</v>
      </c>
      <c r="F478" s="61" t="s">
        <v>823</v>
      </c>
      <c r="G478" s="104"/>
      <c r="H478" s="105"/>
      <c r="I478" s="121" t="s">
        <v>1983</v>
      </c>
      <c r="J478" s="123" t="s">
        <v>1984</v>
      </c>
      <c r="K478" s="108" t="s">
        <v>1985</v>
      </c>
      <c r="L478" s="59" t="s">
        <v>3</v>
      </c>
      <c r="M478" s="51" t="s">
        <v>1986</v>
      </c>
      <c r="N478" s="82"/>
      <c r="O478" s="90"/>
      <c r="P478" s="82"/>
      <c r="Q478" s="3"/>
    </row>
    <row r="479" spans="1:17" ht="16.5">
      <c r="A479" t="s">
        <v>828</v>
      </c>
      <c r="B479" s="7" t="s">
        <v>871</v>
      </c>
      <c r="C479" s="7"/>
      <c r="D479" s="7"/>
      <c r="E479" s="61" t="s">
        <v>823</v>
      </c>
      <c r="F479" s="61" t="s">
        <v>823</v>
      </c>
      <c r="G479" s="104" t="s">
        <v>910</v>
      </c>
      <c r="H479" s="105"/>
      <c r="I479" s="195" t="s">
        <v>1983</v>
      </c>
      <c r="J479" s="123" t="s">
        <v>1987</v>
      </c>
      <c r="K479" s="108" t="s">
        <v>1988</v>
      </c>
      <c r="L479" s="196" t="s">
        <v>1989</v>
      </c>
      <c r="M479" s="51"/>
      <c r="N479" s="82"/>
      <c r="O479" s="90"/>
      <c r="P479" s="82"/>
      <c r="Q479" s="3"/>
    </row>
    <row r="480" spans="1:17" ht="16.5">
      <c r="B480" s="7"/>
      <c r="C480" s="7"/>
      <c r="D480" s="7"/>
      <c r="E480" s="7"/>
      <c r="F480" s="7"/>
      <c r="G480" s="7"/>
      <c r="H480" s="7"/>
      <c r="I480" s="109" t="s">
        <v>1990</v>
      </c>
      <c r="J480" s="118">
        <v>44438</v>
      </c>
      <c r="K480" s="114" t="s">
        <v>499</v>
      </c>
    </row>
    <row r="481" spans="1:17" ht="16.5">
      <c r="B481" s="7"/>
      <c r="C481" s="7"/>
      <c r="D481" s="7"/>
      <c r="E481" s="7"/>
      <c r="F481" s="7"/>
      <c r="G481" s="7"/>
      <c r="H481" s="7"/>
      <c r="I481" s="109" t="s">
        <v>1991</v>
      </c>
      <c r="J481" s="113"/>
      <c r="K481" s="114" t="s">
        <v>1992</v>
      </c>
    </row>
    <row r="482" spans="1:17" ht="16.5" customHeight="1">
      <c r="B482" s="7" t="s">
        <v>1006</v>
      </c>
      <c r="C482" s="7" t="s">
        <v>854</v>
      </c>
      <c r="D482" s="39"/>
      <c r="E482" s="7"/>
      <c r="F482" s="7"/>
      <c r="G482" s="7"/>
      <c r="H482" s="7"/>
      <c r="I482" s="109" t="s">
        <v>1993</v>
      </c>
      <c r="J482" s="109" t="s">
        <v>1994</v>
      </c>
      <c r="K482" s="116"/>
    </row>
    <row r="483" spans="1:17" ht="16.5" customHeight="1">
      <c r="A483" t="s">
        <v>828</v>
      </c>
      <c r="B483" s="7"/>
      <c r="C483" s="7"/>
      <c r="D483" s="39"/>
      <c r="E483" s="7" t="s">
        <v>1029</v>
      </c>
      <c r="F483" s="7"/>
      <c r="G483" s="7"/>
      <c r="H483" s="7"/>
      <c r="I483" s="109" t="s">
        <v>1995</v>
      </c>
      <c r="J483" s="109" t="s">
        <v>1996</v>
      </c>
      <c r="K483" s="116" t="s">
        <v>1997</v>
      </c>
    </row>
    <row r="484" spans="1:17" ht="16.5">
      <c r="B484" s="7"/>
      <c r="C484" s="7" t="s">
        <v>829</v>
      </c>
      <c r="D484" s="197"/>
      <c r="E484" s="7"/>
      <c r="F484" s="7"/>
      <c r="G484" s="7"/>
      <c r="H484" s="7"/>
      <c r="I484" s="109" t="s">
        <v>1998</v>
      </c>
      <c r="J484" s="113"/>
      <c r="K484" s="114" t="s">
        <v>1999</v>
      </c>
    </row>
    <row r="485" spans="1:17" ht="16.5">
      <c r="B485" s="7"/>
      <c r="C485" s="7" t="s">
        <v>829</v>
      </c>
      <c r="D485" s="39"/>
      <c r="E485" s="7"/>
      <c r="F485" s="7"/>
      <c r="G485" s="7"/>
      <c r="H485" s="7"/>
      <c r="I485" s="109" t="s">
        <v>1998</v>
      </c>
      <c r="J485" s="113" t="s">
        <v>1068</v>
      </c>
      <c r="K485" s="114"/>
    </row>
    <row r="486" spans="1:17" ht="16.5">
      <c r="A486" t="s">
        <v>828</v>
      </c>
      <c r="B486" s="7"/>
      <c r="C486" s="7"/>
      <c r="D486" s="39"/>
      <c r="E486" s="61" t="s">
        <v>823</v>
      </c>
      <c r="F486" s="61" t="s">
        <v>823</v>
      </c>
      <c r="G486" s="104"/>
      <c r="H486" s="105">
        <f>H485+1</f>
        <v>1</v>
      </c>
      <c r="I486" s="106" t="s">
        <v>1998</v>
      </c>
      <c r="J486" s="139"/>
      <c r="K486" s="108" t="s">
        <v>1999</v>
      </c>
      <c r="L486" s="59"/>
      <c r="M486" s="51" t="s">
        <v>2000</v>
      </c>
      <c r="N486" s="82"/>
      <c r="O486" s="90" t="s">
        <v>829</v>
      </c>
      <c r="P486" s="82"/>
      <c r="Q486" s="3"/>
    </row>
    <row r="487" spans="1:17" ht="16.5">
      <c r="B487" s="7"/>
      <c r="C487" s="7"/>
      <c r="D487" s="39"/>
      <c r="E487" s="198"/>
      <c r="F487" s="198"/>
      <c r="G487" s="198"/>
      <c r="H487" s="198"/>
      <c r="I487" s="113" t="s">
        <v>2001</v>
      </c>
      <c r="J487" s="113"/>
      <c r="K487" s="114"/>
    </row>
    <row r="488" spans="1:17" ht="18" customHeight="1">
      <c r="B488" s="7"/>
      <c r="C488" s="7"/>
      <c r="D488" s="7"/>
      <c r="E488" s="7"/>
      <c r="F488" s="7"/>
      <c r="G488" s="7"/>
      <c r="H488" s="7"/>
      <c r="I488" s="110" t="s">
        <v>2002</v>
      </c>
      <c r="J488" s="111"/>
      <c r="K488" s="114" t="s">
        <v>2003</v>
      </c>
    </row>
    <row r="489" spans="1:17" ht="16.5">
      <c r="A489" t="s">
        <v>828</v>
      </c>
      <c r="B489" s="7" t="s">
        <v>821</v>
      </c>
      <c r="C489" s="7" t="s">
        <v>1051</v>
      </c>
      <c r="D489" s="7"/>
      <c r="E489" s="7" t="s">
        <v>826</v>
      </c>
      <c r="F489" s="7"/>
      <c r="G489" s="7"/>
      <c r="H489" s="7"/>
      <c r="I489" s="10" t="s">
        <v>2004</v>
      </c>
      <c r="J489" s="113" t="s">
        <v>2005</v>
      </c>
      <c r="K489" s="114" t="s">
        <v>2006</v>
      </c>
    </row>
    <row r="490" spans="1:17" ht="16.5">
      <c r="B490" s="7"/>
      <c r="C490" s="7"/>
      <c r="D490" s="7"/>
      <c r="E490" s="7"/>
      <c r="F490" s="7"/>
      <c r="G490" s="7"/>
      <c r="H490" s="7"/>
      <c r="I490" s="109" t="s">
        <v>2007</v>
      </c>
      <c r="J490" s="17" t="s">
        <v>2008</v>
      </c>
      <c r="K490" s="114" t="s">
        <v>2009</v>
      </c>
    </row>
    <row r="491" spans="1:17" ht="16.5">
      <c r="B491" s="7"/>
      <c r="C491" s="7"/>
      <c r="D491" s="7"/>
      <c r="E491" s="7"/>
      <c r="F491" s="7"/>
      <c r="G491" s="7"/>
      <c r="H491" s="7"/>
      <c r="I491" s="109" t="s">
        <v>2010</v>
      </c>
      <c r="J491" s="113" t="s">
        <v>2011</v>
      </c>
      <c r="K491" s="114" t="s">
        <v>2012</v>
      </c>
    </row>
    <row r="492" spans="1:17" ht="16.5">
      <c r="B492" s="7"/>
      <c r="C492" s="7"/>
      <c r="D492" s="7"/>
      <c r="E492" s="7"/>
      <c r="F492" s="7"/>
      <c r="G492" s="7"/>
      <c r="H492" s="7"/>
      <c r="I492" s="111" t="s">
        <v>2013</v>
      </c>
      <c r="J492" s="113"/>
      <c r="K492" s="114" t="s">
        <v>3</v>
      </c>
    </row>
    <row r="493" spans="1:17" ht="16.5">
      <c r="A493" t="s">
        <v>1361</v>
      </c>
      <c r="B493" s="7" t="s">
        <v>1006</v>
      </c>
      <c r="C493" s="7" t="s">
        <v>825</v>
      </c>
      <c r="D493" s="7"/>
      <c r="E493" s="7" t="s">
        <v>964</v>
      </c>
      <c r="F493" s="7"/>
      <c r="G493" s="7"/>
      <c r="H493" s="7"/>
      <c r="I493" s="10" t="s">
        <v>2014</v>
      </c>
      <c r="J493" s="5"/>
      <c r="K493" s="114"/>
    </row>
    <row r="494" spans="1:17" ht="16.5">
      <c r="B494" s="7" t="s">
        <v>821</v>
      </c>
      <c r="C494" s="7"/>
      <c r="D494" s="7"/>
      <c r="E494" s="7" t="s">
        <v>965</v>
      </c>
      <c r="F494" s="7"/>
      <c r="G494" s="7"/>
      <c r="H494" s="7"/>
      <c r="I494" s="110" t="s">
        <v>2015</v>
      </c>
      <c r="J494" s="111"/>
      <c r="K494" s="114" t="s">
        <v>2016</v>
      </c>
    </row>
    <row r="495" spans="1:17" ht="16.5">
      <c r="B495" s="7"/>
      <c r="C495" s="7"/>
      <c r="D495" s="7"/>
      <c r="E495" s="7"/>
      <c r="F495" s="7"/>
      <c r="G495" s="7"/>
      <c r="H495" s="7"/>
      <c r="I495" s="109" t="s">
        <v>2017</v>
      </c>
      <c r="J495" s="113"/>
      <c r="K495" s="114" t="s">
        <v>2018</v>
      </c>
    </row>
    <row r="496" spans="1:17" ht="16.5">
      <c r="B496" s="7"/>
      <c r="C496" s="7"/>
      <c r="D496" s="7"/>
      <c r="E496" s="7"/>
      <c r="F496" s="7"/>
      <c r="G496" s="7"/>
      <c r="H496" s="7"/>
      <c r="I496" s="10" t="s">
        <v>2019</v>
      </c>
      <c r="J496" s="5"/>
      <c r="K496" s="114"/>
    </row>
    <row r="497" spans="1:19" ht="16.5" customHeight="1">
      <c r="B497" s="7"/>
      <c r="C497" s="7"/>
      <c r="D497" s="7"/>
      <c r="E497" s="7"/>
      <c r="F497" s="7"/>
      <c r="G497" s="7"/>
      <c r="H497" s="7"/>
      <c r="I497" s="109" t="s">
        <v>2020</v>
      </c>
      <c r="J497" s="109"/>
      <c r="K497" s="116"/>
    </row>
    <row r="498" spans="1:19" ht="16.5">
      <c r="B498" s="7"/>
      <c r="C498" s="120"/>
      <c r="D498" s="120"/>
      <c r="E498" s="7"/>
      <c r="F498" s="7"/>
      <c r="G498" s="117" t="s">
        <v>559</v>
      </c>
      <c r="H498" s="7"/>
      <c r="I498" s="158" t="s">
        <v>2021</v>
      </c>
      <c r="J498" s="176" t="s">
        <v>559</v>
      </c>
      <c r="K498" s="22" t="s">
        <v>2022</v>
      </c>
    </row>
    <row r="499" spans="1:19" ht="18" customHeight="1">
      <c r="A499" t="s">
        <v>828</v>
      </c>
      <c r="B499" s="7"/>
      <c r="C499" s="7"/>
      <c r="D499" s="7"/>
      <c r="E499" s="61" t="s">
        <v>823</v>
      </c>
      <c r="F499" s="61" t="s">
        <v>823</v>
      </c>
      <c r="G499" s="161"/>
      <c r="H499" s="161"/>
      <c r="I499" s="162" t="s">
        <v>2021</v>
      </c>
      <c r="J499" s="199" t="s">
        <v>559</v>
      </c>
      <c r="K499" s="78" t="s">
        <v>2022</v>
      </c>
      <c r="L499" s="23"/>
      <c r="M499" s="23"/>
      <c r="N499" s="36"/>
      <c r="O499" s="36"/>
      <c r="P499" s="36"/>
    </row>
    <row r="500" spans="1:19" ht="16.5">
      <c r="B500" s="7"/>
      <c r="C500" s="7" t="s">
        <v>2023</v>
      </c>
      <c r="D500" s="7"/>
      <c r="E500" s="7"/>
      <c r="F500" s="7"/>
      <c r="G500" s="7"/>
      <c r="H500" s="7"/>
      <c r="I500" s="109" t="s">
        <v>2024</v>
      </c>
      <c r="J500" s="13" t="s">
        <v>2025</v>
      </c>
      <c r="K500" s="8" t="s">
        <v>2026</v>
      </c>
    </row>
    <row r="501" spans="1:19" ht="18" customHeight="1">
      <c r="A501" t="s">
        <v>1361</v>
      </c>
      <c r="B501" s="7" t="s">
        <v>821</v>
      </c>
      <c r="C501" s="7" t="s">
        <v>1051</v>
      </c>
      <c r="D501" s="7"/>
      <c r="E501" s="7" t="s">
        <v>964</v>
      </c>
      <c r="F501" s="7"/>
      <c r="G501" s="7"/>
      <c r="H501" s="7"/>
      <c r="I501" s="10" t="s">
        <v>2027</v>
      </c>
      <c r="J501" s="5" t="s">
        <v>2028</v>
      </c>
      <c r="K501" s="114" t="s">
        <v>2029</v>
      </c>
      <c r="L501" s="5" t="s">
        <v>2030</v>
      </c>
      <c r="M501" s="114" t="s">
        <v>2031</v>
      </c>
    </row>
    <row r="502" spans="1:19" ht="16.5">
      <c r="A502" t="s">
        <v>828</v>
      </c>
      <c r="B502" s="7" t="s">
        <v>892</v>
      </c>
      <c r="C502" s="7" t="s">
        <v>822</v>
      </c>
      <c r="D502" s="7"/>
      <c r="E502" s="62" t="s">
        <v>965</v>
      </c>
      <c r="F502" s="62" t="s">
        <v>965</v>
      </c>
      <c r="G502" s="133" t="s">
        <v>3</v>
      </c>
      <c r="H502" s="134">
        <v>12</v>
      </c>
      <c r="I502" s="135" t="s">
        <v>2032</v>
      </c>
      <c r="J502" s="154"/>
      <c r="K502" s="137" t="s">
        <v>2033</v>
      </c>
      <c r="L502" s="44"/>
      <c r="M502" s="44"/>
    </row>
    <row r="503" spans="1:19" ht="16.5">
      <c r="A503" t="s">
        <v>828</v>
      </c>
      <c r="B503" s="7" t="s">
        <v>892</v>
      </c>
      <c r="C503" s="7" t="s">
        <v>822</v>
      </c>
      <c r="D503" s="7"/>
      <c r="E503" s="62" t="s">
        <v>965</v>
      </c>
      <c r="F503" s="62" t="s">
        <v>965</v>
      </c>
      <c r="G503" s="142"/>
      <c r="H503" s="134">
        <v>13</v>
      </c>
      <c r="I503" s="135" t="s">
        <v>2034</v>
      </c>
      <c r="J503" s="150" t="s">
        <v>3</v>
      </c>
      <c r="K503" s="137" t="s">
        <v>2035</v>
      </c>
      <c r="L503" s="44"/>
      <c r="M503" s="44"/>
    </row>
    <row r="504" spans="1:19" ht="16.5">
      <c r="A504" t="s">
        <v>828</v>
      </c>
      <c r="B504" s="7" t="s">
        <v>892</v>
      </c>
      <c r="C504" s="7" t="s">
        <v>822</v>
      </c>
      <c r="D504" s="7"/>
      <c r="E504" s="62" t="s">
        <v>965</v>
      </c>
      <c r="F504" s="62" t="s">
        <v>965</v>
      </c>
      <c r="G504" s="142"/>
      <c r="H504" s="134">
        <v>14</v>
      </c>
      <c r="I504" s="135" t="s">
        <v>2036</v>
      </c>
      <c r="J504" s="200" t="s">
        <v>3</v>
      </c>
      <c r="K504" s="137" t="s">
        <v>2037</v>
      </c>
      <c r="L504" s="44"/>
      <c r="M504" s="44"/>
    </row>
    <row r="505" spans="1:19" ht="16.5">
      <c r="A505" t="s">
        <v>828</v>
      </c>
      <c r="B505" s="7" t="s">
        <v>1006</v>
      </c>
      <c r="C505" s="7" t="s">
        <v>2038</v>
      </c>
      <c r="D505" s="7"/>
      <c r="E505" s="7" t="s">
        <v>826</v>
      </c>
      <c r="F505" s="7"/>
      <c r="G505" s="7"/>
      <c r="H505" s="7"/>
      <c r="I505" s="110" t="s">
        <v>2039</v>
      </c>
      <c r="J505" s="111"/>
      <c r="K505" s="114"/>
    </row>
    <row r="506" spans="1:19" ht="16.5">
      <c r="A506" t="s">
        <v>1361</v>
      </c>
      <c r="B506" s="7" t="s">
        <v>1006</v>
      </c>
      <c r="C506" s="7" t="s">
        <v>2038</v>
      </c>
      <c r="D506" s="7"/>
      <c r="E506" s="7" t="s">
        <v>826</v>
      </c>
      <c r="F506" s="7"/>
      <c r="G506" s="7"/>
      <c r="H506" s="7"/>
      <c r="I506" s="110" t="s">
        <v>2039</v>
      </c>
      <c r="J506" s="111"/>
      <c r="K506" s="114"/>
    </row>
    <row r="507" spans="1:19" ht="16.5">
      <c r="B507" s="7"/>
      <c r="C507" s="7"/>
      <c r="D507" s="7"/>
      <c r="E507" s="7"/>
      <c r="F507" s="7"/>
      <c r="G507" s="7"/>
      <c r="H507" s="7"/>
      <c r="I507" s="110" t="s">
        <v>2040</v>
      </c>
      <c r="J507" s="111"/>
      <c r="K507" s="114"/>
    </row>
    <row r="508" spans="1:19" ht="16.5">
      <c r="A508" t="s">
        <v>828</v>
      </c>
      <c r="B508" s="7" t="s">
        <v>3</v>
      </c>
      <c r="C508" s="7" t="s">
        <v>3</v>
      </c>
      <c r="D508" s="7"/>
      <c r="E508" s="62" t="s">
        <v>965</v>
      </c>
      <c r="F508" s="62" t="s">
        <v>965</v>
      </c>
      <c r="G508" s="133" t="s">
        <v>3</v>
      </c>
      <c r="H508" s="134">
        <v>15</v>
      </c>
      <c r="I508" s="135" t="s">
        <v>2041</v>
      </c>
      <c r="J508" s="150" t="s">
        <v>2042</v>
      </c>
      <c r="K508" s="137" t="s">
        <v>2043</v>
      </c>
      <c r="L508" s="44" t="s">
        <v>2044</v>
      </c>
      <c r="M508" s="44"/>
    </row>
    <row r="509" spans="1:19" ht="16.5" customHeight="1">
      <c r="B509" s="7"/>
      <c r="C509" s="7" t="s">
        <v>1051</v>
      </c>
      <c r="D509" s="7"/>
      <c r="E509" s="7"/>
      <c r="F509" s="7"/>
      <c r="G509" s="7"/>
      <c r="H509" s="7"/>
      <c r="I509" s="109" t="s">
        <v>2045</v>
      </c>
      <c r="J509" s="109" t="s">
        <v>2046</v>
      </c>
      <c r="K509" s="116"/>
    </row>
    <row r="510" spans="1:19" ht="16.5">
      <c r="B510" s="7"/>
      <c r="C510" s="7"/>
      <c r="D510" s="7"/>
      <c r="E510" s="7"/>
      <c r="F510" s="7"/>
      <c r="G510" s="7"/>
      <c r="H510" s="7"/>
      <c r="I510" s="109" t="s">
        <v>2047</v>
      </c>
      <c r="J510" s="11" t="s">
        <v>2048</v>
      </c>
      <c r="K510" s="132" t="s">
        <v>2049</v>
      </c>
    </row>
    <row r="511" spans="1:19" ht="16.5">
      <c r="B511" s="7"/>
      <c r="C511" s="7"/>
      <c r="D511" s="7"/>
      <c r="E511" s="7"/>
      <c r="F511" s="7"/>
      <c r="G511" s="7"/>
      <c r="H511" s="7"/>
      <c r="I511" s="109" t="s">
        <v>2050</v>
      </c>
      <c r="J511" s="113"/>
      <c r="K511" s="114" t="s">
        <v>2051</v>
      </c>
    </row>
    <row r="512" spans="1:19" ht="16.5">
      <c r="A512" t="s">
        <v>828</v>
      </c>
      <c r="B512" s="7"/>
      <c r="C512" s="120" t="s">
        <v>884</v>
      </c>
      <c r="D512" s="7"/>
      <c r="E512" s="61" t="s">
        <v>823</v>
      </c>
      <c r="F512" s="61" t="s">
        <v>823</v>
      </c>
      <c r="G512" s="104"/>
      <c r="H512" s="105"/>
      <c r="I512" s="121" t="s">
        <v>2052</v>
      </c>
      <c r="J512" s="122"/>
      <c r="K512" s="108"/>
      <c r="L512" s="52" t="s">
        <v>2053</v>
      </c>
      <c r="M512" s="52" t="s">
        <v>2054</v>
      </c>
      <c r="N512" s="52" t="s">
        <v>2055</v>
      </c>
      <c r="O512" s="52" t="s">
        <v>884</v>
      </c>
      <c r="P512" s="82"/>
      <c r="Q512" s="3"/>
      <c r="S512" t="s">
        <v>878</v>
      </c>
    </row>
    <row r="513" spans="1:17" ht="16.5">
      <c r="B513" s="7"/>
      <c r="C513" s="7" t="s">
        <v>825</v>
      </c>
      <c r="D513" s="7"/>
      <c r="E513" s="61" t="s">
        <v>823</v>
      </c>
      <c r="F513" s="7"/>
      <c r="G513" s="7"/>
      <c r="H513" s="7"/>
      <c r="I513" s="109" t="s">
        <v>2056</v>
      </c>
      <c r="J513" s="5" t="s">
        <v>2057</v>
      </c>
      <c r="K513" s="114" t="s">
        <v>2058</v>
      </c>
    </row>
    <row r="514" spans="1:17" ht="16.5">
      <c r="B514" s="7"/>
      <c r="C514" s="7"/>
      <c r="D514" s="7"/>
      <c r="E514" s="7"/>
      <c r="F514" s="7"/>
      <c r="G514" s="7"/>
      <c r="H514" s="7"/>
      <c r="I514" s="109" t="s">
        <v>2059</v>
      </c>
      <c r="J514" s="118">
        <v>44029</v>
      </c>
      <c r="K514" s="114" t="s">
        <v>2060</v>
      </c>
    </row>
    <row r="515" spans="1:17" ht="16.5">
      <c r="B515" s="7"/>
      <c r="C515" s="7"/>
      <c r="D515" s="7"/>
      <c r="E515" s="7"/>
      <c r="F515" s="7"/>
      <c r="G515" s="7"/>
      <c r="H515" s="7"/>
      <c r="I515" s="109" t="s">
        <v>2061</v>
      </c>
      <c r="J515" s="113" t="s">
        <v>2062</v>
      </c>
      <c r="K515" s="114"/>
    </row>
    <row r="516" spans="1:17" ht="16.5">
      <c r="A516" t="s">
        <v>828</v>
      </c>
      <c r="B516" s="7" t="s">
        <v>3</v>
      </c>
      <c r="C516" s="7" t="s">
        <v>3</v>
      </c>
      <c r="D516" s="7"/>
      <c r="E516" s="62" t="s">
        <v>965</v>
      </c>
      <c r="F516" s="62" t="s">
        <v>965</v>
      </c>
      <c r="G516" s="133" t="s">
        <v>3</v>
      </c>
      <c r="H516" s="134">
        <v>16</v>
      </c>
      <c r="I516" s="135" t="s">
        <v>2063</v>
      </c>
      <c r="J516" s="143" t="s">
        <v>2064</v>
      </c>
      <c r="K516" s="137" t="s">
        <v>2065</v>
      </c>
      <c r="L516" s="44" t="s">
        <v>2066</v>
      </c>
      <c r="M516" s="44"/>
    </row>
    <row r="517" spans="1:17" ht="16.5">
      <c r="B517" s="7" t="s">
        <v>3</v>
      </c>
      <c r="C517" s="7"/>
      <c r="D517" s="7"/>
      <c r="E517" s="7"/>
      <c r="F517" s="7"/>
      <c r="G517" s="7"/>
      <c r="H517" s="7"/>
      <c r="I517" s="109" t="s">
        <v>2067</v>
      </c>
      <c r="J517" s="131" t="s">
        <v>2068</v>
      </c>
      <c r="K517" s="114" t="s">
        <v>2069</v>
      </c>
    </row>
    <row r="518" spans="1:17" ht="16.5">
      <c r="A518" t="s">
        <v>828</v>
      </c>
      <c r="B518" s="7" t="s">
        <v>3</v>
      </c>
      <c r="C518" s="7" t="s">
        <v>3</v>
      </c>
      <c r="D518" s="7"/>
      <c r="E518" s="62" t="s">
        <v>965</v>
      </c>
      <c r="F518" s="62" t="s">
        <v>965</v>
      </c>
      <c r="G518" s="133" t="s">
        <v>3</v>
      </c>
      <c r="H518" s="134">
        <v>17</v>
      </c>
      <c r="I518" s="135" t="s">
        <v>2070</v>
      </c>
      <c r="J518" s="150" t="s">
        <v>2071</v>
      </c>
      <c r="K518" s="137" t="s">
        <v>2072</v>
      </c>
      <c r="L518" s="44" t="s">
        <v>2073</v>
      </c>
      <c r="M518" s="44"/>
    </row>
    <row r="519" spans="1:17" ht="28.5">
      <c r="A519" t="s">
        <v>828</v>
      </c>
      <c r="B519" s="7"/>
      <c r="C519" s="7"/>
      <c r="D519" s="7"/>
      <c r="E519" s="62"/>
      <c r="F519" s="62"/>
      <c r="G519" s="133"/>
      <c r="H519" s="134"/>
      <c r="I519" s="135" t="s">
        <v>2074</v>
      </c>
      <c r="J519" s="150" t="s">
        <v>2075</v>
      </c>
      <c r="K519" s="137"/>
      <c r="L519" s="44"/>
      <c r="M519" s="44"/>
    </row>
    <row r="520" spans="1:17" ht="16.5">
      <c r="B520" s="7"/>
      <c r="C520" s="7"/>
      <c r="D520" s="7"/>
      <c r="E520" s="62"/>
      <c r="F520" s="62"/>
      <c r="G520" s="133"/>
      <c r="H520" s="134"/>
      <c r="I520" s="135"/>
      <c r="J520" s="150"/>
      <c r="K520" s="137"/>
      <c r="L520" s="44"/>
      <c r="M520" s="44"/>
    </row>
    <row r="521" spans="1:17" ht="16.5">
      <c r="B521" s="7"/>
      <c r="C521" s="7"/>
      <c r="D521" s="7"/>
      <c r="E521" s="7" t="s">
        <v>833</v>
      </c>
      <c r="F521" s="7"/>
      <c r="G521" s="7"/>
      <c r="H521" s="7"/>
      <c r="I521" s="10" t="s">
        <v>2076</v>
      </c>
      <c r="J521" s="12" t="s">
        <v>2077</v>
      </c>
      <c r="K521" s="114" t="s">
        <v>2078</v>
      </c>
    </row>
    <row r="522" spans="1:17" ht="16.5">
      <c r="B522" s="7"/>
      <c r="C522" s="7"/>
      <c r="D522" s="7"/>
      <c r="E522" s="7"/>
      <c r="F522" s="7"/>
      <c r="G522" s="7"/>
      <c r="H522" s="7"/>
      <c r="I522" s="109" t="s">
        <v>2079</v>
      </c>
      <c r="J522" s="113"/>
      <c r="K522" s="114"/>
    </row>
    <row r="523" spans="1:17" ht="16.5">
      <c r="A523" t="s">
        <v>828</v>
      </c>
      <c r="B523" s="7" t="s">
        <v>892</v>
      </c>
      <c r="C523" s="7" t="s">
        <v>854</v>
      </c>
      <c r="D523" s="7"/>
      <c r="E523" s="61" t="s">
        <v>823</v>
      </c>
      <c r="F523" s="61" t="s">
        <v>823</v>
      </c>
      <c r="G523" s="104" t="s">
        <v>910</v>
      </c>
      <c r="H523" s="105" t="e">
        <f>#REF!+1</f>
        <v>#REF!</v>
      </c>
      <c r="I523" s="106" t="s">
        <v>2080</v>
      </c>
      <c r="J523" s="139"/>
      <c r="K523" s="108" t="s">
        <v>2081</v>
      </c>
      <c r="L523" s="59"/>
      <c r="M523" s="51" t="s">
        <v>2082</v>
      </c>
      <c r="N523" s="82"/>
      <c r="O523" s="90" t="s">
        <v>854</v>
      </c>
      <c r="P523" s="82"/>
      <c r="Q523" s="3"/>
    </row>
    <row r="524" spans="1:17" ht="16.5">
      <c r="A524" t="s">
        <v>828</v>
      </c>
      <c r="B524" s="7" t="s">
        <v>892</v>
      </c>
      <c r="C524" s="7" t="s">
        <v>854</v>
      </c>
      <c r="D524" s="7"/>
      <c r="E524" s="61" t="s">
        <v>823</v>
      </c>
      <c r="F524" s="61" t="s">
        <v>823</v>
      </c>
      <c r="G524" s="104" t="s">
        <v>910</v>
      </c>
      <c r="H524" s="105" t="e">
        <f>#REF!+1</f>
        <v>#REF!</v>
      </c>
      <c r="I524" s="106" t="s">
        <v>2083</v>
      </c>
      <c r="J524" s="139"/>
      <c r="K524" s="108" t="s">
        <v>2084</v>
      </c>
      <c r="L524" s="59"/>
      <c r="M524" s="51" t="s">
        <v>2085</v>
      </c>
      <c r="N524" s="82"/>
      <c r="O524" s="90" t="s">
        <v>854</v>
      </c>
      <c r="P524" s="82"/>
      <c r="Q524" s="3"/>
    </row>
    <row r="525" spans="1:17" ht="16.5">
      <c r="A525" t="s">
        <v>828</v>
      </c>
      <c r="B525" s="7" t="s">
        <v>892</v>
      </c>
      <c r="C525" s="7" t="s">
        <v>854</v>
      </c>
      <c r="D525" s="7"/>
      <c r="E525" s="61" t="s">
        <v>823</v>
      </c>
      <c r="F525" s="61" t="s">
        <v>823</v>
      </c>
      <c r="G525" s="104" t="s">
        <v>910</v>
      </c>
      <c r="H525" s="105" t="e">
        <f>#REF!+1</f>
        <v>#REF!</v>
      </c>
      <c r="I525" s="106" t="s">
        <v>2086</v>
      </c>
      <c r="J525" s="139"/>
      <c r="K525" s="108" t="s">
        <v>2087</v>
      </c>
      <c r="L525" s="59"/>
      <c r="M525" s="51" t="s">
        <v>2088</v>
      </c>
      <c r="N525" s="82"/>
      <c r="O525" s="90" t="s">
        <v>854</v>
      </c>
      <c r="P525" s="82"/>
      <c r="Q525" s="3"/>
    </row>
    <row r="526" spans="1:17" ht="16.5">
      <c r="B526" s="7"/>
      <c r="C526" s="7"/>
      <c r="D526" s="7"/>
      <c r="E526" s="7"/>
      <c r="F526" s="7"/>
      <c r="G526" s="7"/>
      <c r="H526" s="7"/>
      <c r="I526" s="109" t="s">
        <v>2089</v>
      </c>
      <c r="J526" s="113"/>
      <c r="K526" s="114" t="s">
        <v>2090</v>
      </c>
    </row>
    <row r="527" spans="1:17" ht="16.5">
      <c r="B527" s="7" t="s">
        <v>850</v>
      </c>
      <c r="C527" s="7" t="s">
        <v>822</v>
      </c>
      <c r="D527" s="7"/>
      <c r="E527" s="7" t="s">
        <v>818</v>
      </c>
      <c r="F527" s="7"/>
      <c r="G527" s="7"/>
      <c r="H527" s="7"/>
      <c r="I527" s="109" t="s">
        <v>2091</v>
      </c>
      <c r="J527" s="113" t="s">
        <v>2092</v>
      </c>
      <c r="K527" s="114" t="s">
        <v>2093</v>
      </c>
    </row>
    <row r="528" spans="1:17" ht="16.5">
      <c r="A528" t="s">
        <v>828</v>
      </c>
      <c r="B528" s="7"/>
      <c r="C528" s="120" t="s">
        <v>829</v>
      </c>
      <c r="D528" s="7"/>
      <c r="E528" s="61" t="s">
        <v>823</v>
      </c>
      <c r="F528" s="61" t="s">
        <v>823</v>
      </c>
      <c r="G528" s="104"/>
      <c r="H528" s="105" t="e">
        <f>#REF!+1</f>
        <v>#REF!</v>
      </c>
      <c r="I528" s="106" t="s">
        <v>2094</v>
      </c>
      <c r="J528" s="106" t="s">
        <v>2095</v>
      </c>
      <c r="K528" s="149" t="s">
        <v>2096</v>
      </c>
      <c r="L528" s="51"/>
      <c r="M528" s="51" t="s">
        <v>2097</v>
      </c>
      <c r="N528" s="82"/>
      <c r="O528" s="82" t="s">
        <v>829</v>
      </c>
      <c r="P528" s="82"/>
      <c r="Q528" s="3"/>
    </row>
    <row r="529" spans="1:17" ht="16.5">
      <c r="B529" s="7"/>
      <c r="C529" s="7"/>
      <c r="D529" s="7"/>
      <c r="E529" s="7" t="s">
        <v>2098</v>
      </c>
      <c r="F529" s="7"/>
      <c r="G529" s="7"/>
      <c r="H529" s="7"/>
      <c r="I529" s="109" t="s">
        <v>2099</v>
      </c>
      <c r="J529" s="5" t="s">
        <v>2100</v>
      </c>
      <c r="K529" s="114" t="s">
        <v>2101</v>
      </c>
    </row>
    <row r="530" spans="1:17" ht="16.5">
      <c r="A530" t="s">
        <v>828</v>
      </c>
      <c r="B530" s="7"/>
      <c r="C530" s="7"/>
      <c r="D530" s="7"/>
      <c r="E530" s="61" t="s">
        <v>823</v>
      </c>
      <c r="F530" s="61" t="s">
        <v>823</v>
      </c>
      <c r="G530" s="117" t="s">
        <v>559</v>
      </c>
      <c r="H530" s="161"/>
      <c r="I530" s="162" t="s">
        <v>2099</v>
      </c>
      <c r="J530" s="199" t="s">
        <v>2102</v>
      </c>
      <c r="K530" s="78" t="s">
        <v>2103</v>
      </c>
      <c r="L530" s="23"/>
      <c r="M530" s="35" t="s">
        <v>2104</v>
      </c>
      <c r="N530" s="36"/>
      <c r="O530" s="36"/>
      <c r="P530" s="36"/>
    </row>
    <row r="531" spans="1:17" ht="16.5">
      <c r="B531" s="7"/>
      <c r="C531" s="7"/>
      <c r="D531" s="7"/>
      <c r="E531" s="7"/>
      <c r="F531" s="7"/>
      <c r="G531" s="117" t="s">
        <v>559</v>
      </c>
      <c r="H531" s="7"/>
      <c r="I531" s="109" t="s">
        <v>2105</v>
      </c>
      <c r="J531" s="113" t="s">
        <v>559</v>
      </c>
      <c r="K531" s="114"/>
    </row>
    <row r="532" spans="1:17" ht="16.5">
      <c r="A532" t="s">
        <v>828</v>
      </c>
      <c r="B532" s="7" t="s">
        <v>881</v>
      </c>
      <c r="C532" s="7" t="s">
        <v>829</v>
      </c>
      <c r="D532" s="7"/>
      <c r="E532" s="61" t="s">
        <v>823</v>
      </c>
      <c r="F532" s="61" t="s">
        <v>823</v>
      </c>
      <c r="G532" s="104" t="s">
        <v>910</v>
      </c>
      <c r="H532" s="105" t="e">
        <f>#REF!+1</f>
        <v>#REF!</v>
      </c>
      <c r="I532" s="121" t="s">
        <v>2106</v>
      </c>
      <c r="J532" s="123"/>
      <c r="K532" s="108"/>
      <c r="L532" s="59"/>
      <c r="M532" s="51"/>
      <c r="N532" s="82"/>
      <c r="O532" s="90"/>
      <c r="P532" s="82"/>
      <c r="Q532" s="3"/>
    </row>
    <row r="533" spans="1:17" ht="16.5">
      <c r="A533" t="s">
        <v>828</v>
      </c>
      <c r="B533" s="7"/>
      <c r="C533" s="7" t="s">
        <v>829</v>
      </c>
      <c r="D533" s="7"/>
      <c r="E533" s="61" t="s">
        <v>823</v>
      </c>
      <c r="F533" s="61" t="s">
        <v>823</v>
      </c>
      <c r="G533" s="104"/>
      <c r="H533" s="105" t="e">
        <f>H532+1</f>
        <v>#REF!</v>
      </c>
      <c r="I533" s="106" t="s">
        <v>2106</v>
      </c>
      <c r="J533" s="106" t="s">
        <v>2107</v>
      </c>
      <c r="K533" s="72" t="s">
        <v>2108</v>
      </c>
      <c r="L533" s="51"/>
      <c r="M533" s="60" t="s">
        <v>2109</v>
      </c>
      <c r="N533" s="82"/>
      <c r="O533" s="90" t="s">
        <v>829</v>
      </c>
      <c r="P533" s="82"/>
      <c r="Q533" s="3"/>
    </row>
    <row r="534" spans="1:17" ht="16.5">
      <c r="B534" s="7"/>
      <c r="C534" s="7"/>
      <c r="D534" s="7"/>
      <c r="E534" s="7"/>
      <c r="F534" s="7"/>
      <c r="G534" s="7"/>
      <c r="H534" s="7"/>
      <c r="I534" s="109" t="s">
        <v>2110</v>
      </c>
      <c r="J534" s="113" t="s">
        <v>1068</v>
      </c>
      <c r="K534" s="114"/>
    </row>
    <row r="535" spans="1:17" ht="16.5">
      <c r="A535" t="s">
        <v>828</v>
      </c>
      <c r="B535" s="7" t="s">
        <v>821</v>
      </c>
      <c r="C535" s="7" t="s">
        <v>3</v>
      </c>
      <c r="D535" s="7"/>
      <c r="E535" s="62" t="s">
        <v>965</v>
      </c>
      <c r="F535" s="62" t="s">
        <v>965</v>
      </c>
      <c r="G535" s="142" t="s">
        <v>3</v>
      </c>
      <c r="H535" s="134">
        <v>18</v>
      </c>
      <c r="I535" s="135" t="s">
        <v>2111</v>
      </c>
      <c r="J535" s="172" t="s">
        <v>2112</v>
      </c>
      <c r="K535" s="137" t="s">
        <v>2113</v>
      </c>
      <c r="L535" s="44"/>
      <c r="M535" s="45" t="s">
        <v>2114</v>
      </c>
      <c r="N535" s="26" t="s">
        <v>970</v>
      </c>
    </row>
    <row r="536" spans="1:17" ht="16.5">
      <c r="A536" t="s">
        <v>824</v>
      </c>
      <c r="B536" s="7" t="s">
        <v>821</v>
      </c>
      <c r="C536" s="7"/>
      <c r="D536" s="7"/>
      <c r="E536" s="7" t="s">
        <v>826</v>
      </c>
      <c r="F536" s="7"/>
      <c r="G536" s="7"/>
      <c r="H536" s="7"/>
      <c r="I536" s="109" t="s">
        <v>2115</v>
      </c>
      <c r="J536" s="113" t="s">
        <v>2116</v>
      </c>
      <c r="K536" s="114" t="s">
        <v>2117</v>
      </c>
    </row>
    <row r="537" spans="1:17" ht="16.5">
      <c r="B537" s="7"/>
      <c r="C537" s="7"/>
      <c r="D537" s="7"/>
      <c r="E537" s="7"/>
      <c r="F537" s="7"/>
      <c r="G537" s="7"/>
      <c r="H537" s="7"/>
      <c r="I537" s="109" t="s">
        <v>2118</v>
      </c>
      <c r="J537" s="113" t="s">
        <v>2119</v>
      </c>
      <c r="K537" s="8" t="s">
        <v>2120</v>
      </c>
    </row>
    <row r="538" spans="1:17" ht="16.5">
      <c r="B538" s="7"/>
      <c r="C538" s="7"/>
      <c r="D538" s="7"/>
      <c r="E538" s="7"/>
      <c r="F538" s="7"/>
      <c r="G538" s="7"/>
      <c r="H538" s="7"/>
      <c r="I538" s="109" t="s">
        <v>2118</v>
      </c>
      <c r="J538" s="5" t="s">
        <v>2121</v>
      </c>
      <c r="K538" s="8" t="s">
        <v>2122</v>
      </c>
    </row>
    <row r="539" spans="1:17" ht="16.5">
      <c r="B539" s="7"/>
      <c r="C539" s="7"/>
      <c r="D539" s="7"/>
      <c r="E539" s="7"/>
      <c r="F539" s="7"/>
      <c r="G539" s="7"/>
      <c r="H539" s="7"/>
      <c r="I539" s="109" t="s">
        <v>2123</v>
      </c>
      <c r="J539" s="113"/>
      <c r="K539" s="114" t="s">
        <v>2124</v>
      </c>
    </row>
    <row r="540" spans="1:17" ht="16.5" customHeight="1">
      <c r="B540" s="7"/>
      <c r="C540" s="7"/>
      <c r="D540" s="7"/>
      <c r="E540" s="7"/>
      <c r="F540" s="7"/>
      <c r="G540" s="7"/>
      <c r="H540" s="7"/>
      <c r="I540" s="109" t="s">
        <v>2125</v>
      </c>
      <c r="J540" s="109"/>
      <c r="K540" s="116"/>
    </row>
    <row r="541" spans="1:17" ht="16.5">
      <c r="B541" s="7"/>
      <c r="C541" s="7"/>
      <c r="D541" s="7"/>
      <c r="E541" s="7"/>
      <c r="F541" s="7"/>
      <c r="G541" s="7"/>
      <c r="H541" s="7"/>
      <c r="I541" s="109" t="s">
        <v>2126</v>
      </c>
      <c r="J541" s="113"/>
      <c r="K541" s="114"/>
    </row>
    <row r="542" spans="1:17" ht="28.5">
      <c r="A542" t="s">
        <v>828</v>
      </c>
      <c r="B542" s="7" t="s">
        <v>3</v>
      </c>
      <c r="C542" s="7" t="s">
        <v>3</v>
      </c>
      <c r="D542" s="7"/>
      <c r="E542" s="62" t="s">
        <v>965</v>
      </c>
      <c r="F542" s="62" t="s">
        <v>965</v>
      </c>
      <c r="G542" s="142" t="s">
        <v>3</v>
      </c>
      <c r="H542" s="134">
        <v>19</v>
      </c>
      <c r="I542" s="135" t="s">
        <v>2127</v>
      </c>
      <c r="J542" s="150" t="s">
        <v>2128</v>
      </c>
      <c r="K542" s="137" t="s">
        <v>2129</v>
      </c>
      <c r="L542" s="44" t="s">
        <v>2130</v>
      </c>
      <c r="M542" s="44"/>
    </row>
    <row r="543" spans="1:17" ht="16.5">
      <c r="A543" t="s">
        <v>828</v>
      </c>
      <c r="B543" s="7" t="s">
        <v>821</v>
      </c>
      <c r="C543" s="7" t="s">
        <v>2131</v>
      </c>
      <c r="D543" s="7"/>
      <c r="E543" s="7" t="s">
        <v>2132</v>
      </c>
      <c r="F543" s="7"/>
      <c r="G543" s="7"/>
      <c r="H543" s="7"/>
      <c r="I543" s="109" t="s">
        <v>2133</v>
      </c>
      <c r="J543" s="113" t="s">
        <v>2134</v>
      </c>
      <c r="K543" s="8" t="s">
        <v>2135</v>
      </c>
    </row>
    <row r="544" spans="1:17" ht="16.5">
      <c r="B544" s="7" t="s">
        <v>1006</v>
      </c>
      <c r="C544" s="7"/>
      <c r="D544" s="7"/>
      <c r="E544" s="7"/>
      <c r="F544" s="7"/>
      <c r="G544" s="7"/>
      <c r="H544" s="7"/>
      <c r="I544" s="109" t="s">
        <v>2136</v>
      </c>
      <c r="J544" s="5" t="s">
        <v>2137</v>
      </c>
      <c r="K544" s="114" t="s">
        <v>2138</v>
      </c>
    </row>
    <row r="545" spans="1:17" ht="16.5">
      <c r="A545" t="s">
        <v>828</v>
      </c>
      <c r="B545" s="7"/>
      <c r="C545" s="7"/>
      <c r="D545" s="7"/>
      <c r="E545" s="61" t="s">
        <v>823</v>
      </c>
      <c r="F545" s="61" t="s">
        <v>823</v>
      </c>
      <c r="G545" s="117" t="s">
        <v>559</v>
      </c>
      <c r="H545" s="161"/>
      <c r="I545" s="201" t="s">
        <v>2139</v>
      </c>
      <c r="J545" s="199" t="s">
        <v>2102</v>
      </c>
      <c r="K545" s="180"/>
      <c r="L545" s="23"/>
      <c r="M545" s="23"/>
      <c r="N545" s="36"/>
      <c r="O545" s="36"/>
      <c r="P545" s="36"/>
    </row>
    <row r="546" spans="1:17" ht="16.5">
      <c r="A546" t="s">
        <v>828</v>
      </c>
      <c r="B546" s="7"/>
      <c r="C546" s="7"/>
      <c r="D546" s="7"/>
      <c r="E546" s="61" t="s">
        <v>823</v>
      </c>
      <c r="F546" s="61" t="s">
        <v>823</v>
      </c>
      <c r="G546" s="117" t="s">
        <v>559</v>
      </c>
      <c r="H546" s="161"/>
      <c r="I546" s="201" t="s">
        <v>2140</v>
      </c>
      <c r="J546" s="199" t="s">
        <v>2102</v>
      </c>
      <c r="K546" s="180"/>
      <c r="L546" s="23"/>
      <c r="M546" s="23"/>
      <c r="N546" s="36"/>
      <c r="O546" s="36"/>
      <c r="P546" s="36"/>
    </row>
    <row r="547" spans="1:17" ht="31.5">
      <c r="A547" t="s">
        <v>828</v>
      </c>
      <c r="B547" s="7"/>
      <c r="C547" s="7" t="s">
        <v>832</v>
      </c>
      <c r="D547" s="7"/>
      <c r="E547" s="61" t="s">
        <v>823</v>
      </c>
      <c r="F547" s="61" t="s">
        <v>823</v>
      </c>
      <c r="G547" s="104"/>
      <c r="H547" s="105" t="e">
        <f>#REF!+1</f>
        <v>#REF!</v>
      </c>
      <c r="I547" s="106" t="s">
        <v>2141</v>
      </c>
      <c r="J547" s="202" t="s">
        <v>1943</v>
      </c>
      <c r="K547" s="203" t="s">
        <v>2142</v>
      </c>
      <c r="L547" s="80" t="s">
        <v>1944</v>
      </c>
      <c r="M547" s="51" t="s">
        <v>2143</v>
      </c>
      <c r="N547" s="82" t="s">
        <v>2144</v>
      </c>
      <c r="O547" s="90" t="s">
        <v>832</v>
      </c>
      <c r="P547" s="82"/>
      <c r="Q547" s="3"/>
    </row>
    <row r="548" spans="1:17" ht="16.5">
      <c r="B548" s="7" t="s">
        <v>850</v>
      </c>
      <c r="C548" s="7" t="s">
        <v>2145</v>
      </c>
      <c r="D548" s="7"/>
      <c r="E548" s="7"/>
      <c r="F548" s="7"/>
      <c r="G548" s="7"/>
      <c r="H548" s="7"/>
      <c r="I548" s="109" t="s">
        <v>2146</v>
      </c>
      <c r="J548" s="113" t="s">
        <v>1943</v>
      </c>
      <c r="K548" s="8" t="s">
        <v>1944</v>
      </c>
    </row>
    <row r="549" spans="1:17" ht="16.5">
      <c r="A549" t="s">
        <v>828</v>
      </c>
      <c r="B549" s="7"/>
      <c r="C549" s="7" t="s">
        <v>2147</v>
      </c>
      <c r="D549" s="7"/>
      <c r="E549" s="61" t="s">
        <v>823</v>
      </c>
      <c r="F549" s="61" t="s">
        <v>823</v>
      </c>
      <c r="G549" s="104"/>
      <c r="H549" s="105" t="e">
        <f>#REF!+1</f>
        <v>#REF!</v>
      </c>
      <c r="I549" s="106" t="s">
        <v>2148</v>
      </c>
      <c r="J549" s="123" t="s">
        <v>2149</v>
      </c>
      <c r="K549" s="108" t="s">
        <v>2150</v>
      </c>
      <c r="L549" s="59"/>
      <c r="M549" s="51" t="s">
        <v>2151</v>
      </c>
      <c r="N549" s="82"/>
      <c r="O549" s="90" t="s">
        <v>2147</v>
      </c>
      <c r="P549" s="82"/>
      <c r="Q549" s="3"/>
    </row>
    <row r="550" spans="1:17" ht="16.5">
      <c r="B550" s="7"/>
      <c r="C550" s="7" t="s">
        <v>2147</v>
      </c>
      <c r="D550" s="7"/>
      <c r="E550" s="7"/>
      <c r="F550" s="7"/>
      <c r="G550" s="7"/>
      <c r="H550" s="7"/>
      <c r="I550" s="109" t="s">
        <v>2152</v>
      </c>
      <c r="J550" s="118">
        <v>43864</v>
      </c>
      <c r="K550" s="114" t="s">
        <v>1061</v>
      </c>
    </row>
    <row r="551" spans="1:17" ht="16.5">
      <c r="B551" s="7" t="s">
        <v>850</v>
      </c>
      <c r="C551" s="7" t="s">
        <v>2145</v>
      </c>
      <c r="D551" s="7"/>
      <c r="E551" s="7"/>
      <c r="F551" s="7"/>
      <c r="G551" s="7"/>
      <c r="H551" s="7"/>
      <c r="I551" s="109" t="s">
        <v>2153</v>
      </c>
      <c r="J551" s="113"/>
      <c r="K551" s="8"/>
    </row>
    <row r="552" spans="1:17" ht="16.5">
      <c r="B552" s="7"/>
      <c r="C552" s="7"/>
      <c r="D552" s="7"/>
      <c r="E552" s="7"/>
      <c r="F552" s="7"/>
      <c r="G552" s="7"/>
      <c r="H552" s="7"/>
      <c r="I552" s="109" t="s">
        <v>2154</v>
      </c>
      <c r="J552" s="113"/>
      <c r="K552" s="114" t="s">
        <v>2155</v>
      </c>
    </row>
    <row r="553" spans="1:17" ht="16.5">
      <c r="B553" s="7" t="s">
        <v>2156</v>
      </c>
      <c r="C553" s="7"/>
      <c r="D553" s="7"/>
      <c r="E553" s="7">
        <v>20</v>
      </c>
      <c r="F553" s="7"/>
      <c r="G553" s="7"/>
      <c r="H553" s="7"/>
      <c r="I553" s="109" t="s">
        <v>2157</v>
      </c>
      <c r="J553" s="113" t="s">
        <v>2158</v>
      </c>
      <c r="K553" s="114" t="s">
        <v>2159</v>
      </c>
    </row>
    <row r="554" spans="1:17" ht="16.5">
      <c r="A554" t="s">
        <v>828</v>
      </c>
      <c r="B554" s="7" t="s">
        <v>3</v>
      </c>
      <c r="C554" s="7" t="s">
        <v>3</v>
      </c>
      <c r="D554" s="7"/>
      <c r="E554" s="62" t="s">
        <v>965</v>
      </c>
      <c r="F554" s="62" t="s">
        <v>965</v>
      </c>
      <c r="G554" s="204" t="s">
        <v>2160</v>
      </c>
      <c r="H554" s="134">
        <v>20</v>
      </c>
      <c r="I554" s="135" t="s">
        <v>2157</v>
      </c>
      <c r="J554" s="205" t="s">
        <v>2158</v>
      </c>
      <c r="K554" s="206" t="s">
        <v>2159</v>
      </c>
      <c r="L554" s="44"/>
      <c r="M554" s="44"/>
      <c r="O554" s="27" t="s">
        <v>2161</v>
      </c>
    </row>
    <row r="555" spans="1:17" ht="16.5">
      <c r="B555" s="7"/>
      <c r="C555" s="7"/>
      <c r="D555" s="7"/>
      <c r="E555" s="7"/>
      <c r="F555" s="7"/>
      <c r="G555" s="7"/>
      <c r="H555" s="7"/>
      <c r="I555" s="109" t="s">
        <v>2162</v>
      </c>
      <c r="J555" s="113" t="s">
        <v>2163</v>
      </c>
      <c r="K555" s="114" t="s">
        <v>2164</v>
      </c>
    </row>
    <row r="556" spans="1:17" ht="16.5">
      <c r="B556" s="7"/>
      <c r="C556" s="7" t="s">
        <v>2165</v>
      </c>
      <c r="D556" s="7"/>
      <c r="E556" s="7" t="s">
        <v>1961</v>
      </c>
      <c r="F556" s="7"/>
      <c r="G556" s="7"/>
      <c r="H556" s="7"/>
      <c r="I556" s="109" t="s">
        <v>2166</v>
      </c>
      <c r="J556" s="113"/>
      <c r="K556" s="114"/>
    </row>
    <row r="557" spans="1:17" ht="16.5">
      <c r="A557" t="s">
        <v>828</v>
      </c>
      <c r="B557" s="7"/>
      <c r="C557" s="7" t="s">
        <v>837</v>
      </c>
      <c r="D557" s="7"/>
      <c r="E557" s="61" t="s">
        <v>823</v>
      </c>
      <c r="F557" s="61" t="s">
        <v>823</v>
      </c>
      <c r="G557" s="104"/>
      <c r="H557" s="105" t="e">
        <f>#REF!+1</f>
        <v>#REF!</v>
      </c>
      <c r="I557" s="106" t="s">
        <v>2167</v>
      </c>
      <c r="J557" s="207" t="s">
        <v>2168</v>
      </c>
      <c r="K557" s="108" t="s">
        <v>2169</v>
      </c>
      <c r="L557" s="208" t="s">
        <v>2170</v>
      </c>
      <c r="M557" s="51" t="s">
        <v>2171</v>
      </c>
      <c r="N557" s="82"/>
      <c r="O557" s="90" t="s">
        <v>837</v>
      </c>
      <c r="P557" s="82"/>
      <c r="Q557" s="3"/>
    </row>
    <row r="558" spans="1:17" ht="16.5">
      <c r="A558" t="s">
        <v>824</v>
      </c>
      <c r="B558" s="7"/>
      <c r="C558" s="7"/>
      <c r="D558" s="7"/>
      <c r="E558" s="7" t="s">
        <v>826</v>
      </c>
      <c r="F558" s="7"/>
      <c r="G558" s="7"/>
      <c r="H558" s="7"/>
      <c r="I558" s="109" t="s">
        <v>2172</v>
      </c>
      <c r="J558" s="113" t="s">
        <v>2173</v>
      </c>
      <c r="K558" s="114" t="s">
        <v>2174</v>
      </c>
    </row>
    <row r="559" spans="1:17" ht="16.5">
      <c r="A559" t="s">
        <v>824</v>
      </c>
      <c r="B559" s="7"/>
      <c r="C559" s="7"/>
      <c r="D559" s="7"/>
      <c r="E559" s="7" t="s">
        <v>826</v>
      </c>
      <c r="F559" s="7"/>
      <c r="G559" s="7"/>
      <c r="H559" s="7"/>
      <c r="I559" s="109" t="s">
        <v>2175</v>
      </c>
      <c r="J559" s="209" t="s">
        <v>2176</v>
      </c>
      <c r="K559" s="114" t="s">
        <v>2177</v>
      </c>
    </row>
    <row r="560" spans="1:17" ht="16.5">
      <c r="A560" t="s">
        <v>824</v>
      </c>
      <c r="B560" s="7"/>
      <c r="C560" s="7"/>
      <c r="D560" s="7"/>
      <c r="E560" s="7"/>
      <c r="F560" s="7"/>
      <c r="G560" s="7"/>
      <c r="H560" s="7"/>
      <c r="I560" s="109" t="s">
        <v>2178</v>
      </c>
      <c r="J560" s="131" t="s">
        <v>2179</v>
      </c>
      <c r="K560" s="114" t="s">
        <v>2180</v>
      </c>
    </row>
    <row r="561" spans="1:17" ht="16.5">
      <c r="B561" s="7"/>
      <c r="C561" s="7"/>
      <c r="D561" s="7"/>
      <c r="E561" s="7" t="s">
        <v>2181</v>
      </c>
      <c r="F561" s="7"/>
      <c r="G561" s="7"/>
      <c r="H561" s="7"/>
      <c r="I561" s="109" t="s">
        <v>2182</v>
      </c>
      <c r="J561" s="113" t="s">
        <v>2183</v>
      </c>
      <c r="K561" s="114" t="s">
        <v>2184</v>
      </c>
    </row>
    <row r="562" spans="1:17" ht="16.5">
      <c r="A562" t="s">
        <v>828</v>
      </c>
      <c r="B562" s="7"/>
      <c r="C562" s="7"/>
      <c r="D562" s="7"/>
      <c r="E562" s="61" t="s">
        <v>823</v>
      </c>
      <c r="F562" s="61" t="s">
        <v>823</v>
      </c>
      <c r="G562" s="104"/>
      <c r="H562" s="105" t="e">
        <f>#REF!+1</f>
        <v>#REF!</v>
      </c>
      <c r="I562" s="106" t="s">
        <v>2185</v>
      </c>
      <c r="J562" s="107" t="s">
        <v>633</v>
      </c>
      <c r="K562" s="108"/>
      <c r="L562" s="59"/>
      <c r="M562" s="51"/>
      <c r="N562" s="82"/>
      <c r="O562" s="90"/>
      <c r="P562" s="82"/>
      <c r="Q562" s="3"/>
    </row>
    <row r="563" spans="1:17" ht="16.5">
      <c r="B563" s="7"/>
      <c r="C563" s="7"/>
      <c r="D563" s="7"/>
      <c r="E563" s="7"/>
      <c r="F563" s="7"/>
      <c r="G563" s="7"/>
      <c r="H563" s="7"/>
      <c r="I563" s="109" t="s">
        <v>2186</v>
      </c>
      <c r="J563" s="113"/>
      <c r="K563" s="114"/>
    </row>
    <row r="564" spans="1:17" ht="16.5">
      <c r="A564" t="s">
        <v>828</v>
      </c>
      <c r="B564" s="7" t="s">
        <v>892</v>
      </c>
      <c r="C564" s="7"/>
      <c r="D564" s="7"/>
      <c r="E564" s="61" t="s">
        <v>823</v>
      </c>
      <c r="F564" s="61" t="s">
        <v>823</v>
      </c>
      <c r="G564" s="104" t="s">
        <v>910</v>
      </c>
      <c r="H564" s="105"/>
      <c r="I564" s="121" t="s">
        <v>2187</v>
      </c>
      <c r="J564" s="123"/>
      <c r="K564" s="140"/>
      <c r="L564" s="59"/>
      <c r="M564" s="51"/>
      <c r="N564" s="82"/>
      <c r="O564" s="90"/>
      <c r="P564" s="82"/>
      <c r="Q564" s="3"/>
    </row>
    <row r="565" spans="1:17" ht="16.5" customHeight="1">
      <c r="B565" s="7" t="s">
        <v>1006</v>
      </c>
      <c r="C565" s="7" t="s">
        <v>825</v>
      </c>
      <c r="D565" s="7"/>
      <c r="E565" s="7" t="s">
        <v>823</v>
      </c>
      <c r="F565" s="7"/>
      <c r="G565" s="7"/>
      <c r="H565" s="7"/>
      <c r="I565" s="109" t="s">
        <v>2188</v>
      </c>
      <c r="J565" s="109" t="s">
        <v>2189</v>
      </c>
      <c r="K565" s="116"/>
    </row>
    <row r="566" spans="1:17" ht="16.5">
      <c r="B566" s="7" t="s">
        <v>821</v>
      </c>
      <c r="C566" s="7"/>
      <c r="D566" s="7"/>
      <c r="E566" s="161"/>
      <c r="F566" s="161"/>
      <c r="G566" s="161"/>
      <c r="H566" s="161"/>
      <c r="I566" s="109" t="s">
        <v>2190</v>
      </c>
      <c r="J566" s="13" t="s">
        <v>2191</v>
      </c>
      <c r="K566" s="114"/>
    </row>
    <row r="567" spans="1:17" ht="16.5" customHeight="1">
      <c r="B567" s="7"/>
      <c r="C567" s="7" t="s">
        <v>1051</v>
      </c>
      <c r="D567" s="7"/>
      <c r="E567" s="7"/>
      <c r="F567" s="7"/>
      <c r="G567" s="7"/>
      <c r="H567" s="7"/>
      <c r="I567" s="109" t="s">
        <v>2192</v>
      </c>
      <c r="J567" s="109" t="s">
        <v>2193</v>
      </c>
      <c r="K567" s="116"/>
    </row>
    <row r="568" spans="1:17" ht="16.5">
      <c r="B568" s="7"/>
      <c r="C568" s="7"/>
      <c r="D568" s="7"/>
      <c r="E568" s="7"/>
      <c r="F568" s="7"/>
      <c r="G568" s="7"/>
      <c r="H568" s="7"/>
      <c r="I568" s="109" t="s">
        <v>2194</v>
      </c>
      <c r="J568" s="5" t="s">
        <v>2195</v>
      </c>
      <c r="K568" s="15" t="s">
        <v>2196</v>
      </c>
    </row>
    <row r="569" spans="1:17" ht="16.5">
      <c r="A569" t="s">
        <v>828</v>
      </c>
      <c r="B569" s="7" t="s">
        <v>3</v>
      </c>
      <c r="C569" s="7" t="s">
        <v>3</v>
      </c>
      <c r="D569" s="7"/>
      <c r="E569" s="62" t="s">
        <v>965</v>
      </c>
      <c r="F569" s="62" t="s">
        <v>965</v>
      </c>
      <c r="G569" s="133">
        <v>44994</v>
      </c>
      <c r="H569" s="134">
        <v>21</v>
      </c>
      <c r="I569" s="135" t="s">
        <v>2197</v>
      </c>
      <c r="J569" s="136" t="s">
        <v>2198</v>
      </c>
      <c r="K569" s="137" t="s">
        <v>2199</v>
      </c>
      <c r="L569" s="44"/>
      <c r="M569" s="44"/>
    </row>
    <row r="570" spans="1:17" ht="16.5">
      <c r="B570" s="7"/>
      <c r="C570" s="7"/>
      <c r="D570" s="7"/>
      <c r="E570" s="7"/>
      <c r="F570" s="7"/>
      <c r="G570" s="7"/>
      <c r="H570" s="7"/>
      <c r="I570" s="109" t="s">
        <v>2200</v>
      </c>
      <c r="J570" s="113"/>
      <c r="K570" s="114"/>
    </row>
    <row r="571" spans="1:17" ht="18">
      <c r="B571" s="7" t="s">
        <v>821</v>
      </c>
      <c r="C571" s="7" t="s">
        <v>1051</v>
      </c>
      <c r="D571" s="7"/>
      <c r="E571" s="7"/>
      <c r="F571" s="7"/>
      <c r="G571" s="7"/>
      <c r="H571" s="7"/>
      <c r="I571" s="109" t="s">
        <v>2201</v>
      </c>
      <c r="J571" s="109" t="s">
        <v>2202</v>
      </c>
      <c r="K571" s="116"/>
    </row>
    <row r="572" spans="1:17" ht="16.5">
      <c r="B572" s="7"/>
      <c r="C572" s="7"/>
      <c r="D572" s="7"/>
      <c r="E572" s="7" t="s">
        <v>964</v>
      </c>
      <c r="F572" s="7"/>
      <c r="G572" s="7"/>
      <c r="H572" s="7"/>
      <c r="I572" s="109" t="s">
        <v>2203</v>
      </c>
      <c r="J572" s="113" t="s">
        <v>3</v>
      </c>
      <c r="K572" s="114"/>
    </row>
    <row r="573" spans="1:17" ht="16.5">
      <c r="B573" s="7"/>
      <c r="C573" s="7"/>
      <c r="D573" s="7"/>
      <c r="E573" s="7"/>
      <c r="F573" s="7"/>
      <c r="G573" s="7"/>
      <c r="H573" s="7"/>
      <c r="I573" s="109" t="s">
        <v>2204</v>
      </c>
      <c r="J573" s="5" t="s">
        <v>2205</v>
      </c>
      <c r="K573" s="114" t="s">
        <v>2206</v>
      </c>
    </row>
    <row r="574" spans="1:17" ht="16.5" customHeight="1">
      <c r="B574" s="7"/>
      <c r="C574" s="7"/>
      <c r="D574" s="7"/>
      <c r="E574" s="7" t="s">
        <v>833</v>
      </c>
      <c r="F574" s="7"/>
      <c r="G574" s="7"/>
      <c r="H574" s="7"/>
      <c r="I574" s="109" t="s">
        <v>2207</v>
      </c>
      <c r="J574" s="113" t="s">
        <v>2208</v>
      </c>
      <c r="K574" s="116"/>
    </row>
    <row r="575" spans="1:17" ht="16.5">
      <c r="A575" t="s">
        <v>828</v>
      </c>
      <c r="B575" s="7"/>
      <c r="C575" s="7" t="s">
        <v>829</v>
      </c>
      <c r="D575" s="7"/>
      <c r="E575" s="61" t="s">
        <v>823</v>
      </c>
      <c r="F575" s="61" t="s">
        <v>823</v>
      </c>
      <c r="G575" s="104"/>
      <c r="H575" s="105" t="e">
        <f>#REF!+1</f>
        <v>#REF!</v>
      </c>
      <c r="I575" s="106" t="s">
        <v>2209</v>
      </c>
      <c r="J575" s="207" t="s">
        <v>2210</v>
      </c>
      <c r="K575" s="108" t="s">
        <v>2211</v>
      </c>
      <c r="L575" s="59"/>
      <c r="M575" s="51"/>
      <c r="N575" s="82"/>
      <c r="O575" s="90" t="s">
        <v>829</v>
      </c>
      <c r="P575" s="82"/>
      <c r="Q575" s="3"/>
    </row>
    <row r="576" spans="1:17" ht="16.5">
      <c r="B576" s="7"/>
      <c r="C576" s="7"/>
      <c r="D576" s="7"/>
      <c r="E576" s="7" t="s">
        <v>833</v>
      </c>
      <c r="F576" s="7"/>
      <c r="G576" s="7"/>
      <c r="H576" s="7"/>
      <c r="I576" s="109" t="s">
        <v>2212</v>
      </c>
      <c r="J576" s="113"/>
      <c r="K576" s="114"/>
    </row>
    <row r="577" spans="1:13" ht="16.5">
      <c r="B577" s="7"/>
      <c r="C577" s="7"/>
      <c r="D577" s="7"/>
      <c r="E577" s="7"/>
      <c r="F577" s="7"/>
      <c r="G577" s="7"/>
      <c r="H577" s="7"/>
      <c r="I577" s="109" t="s">
        <v>2213</v>
      </c>
      <c r="J577" s="113"/>
      <c r="K577" s="114"/>
    </row>
    <row r="578" spans="1:13" ht="16.5">
      <c r="B578" s="7"/>
      <c r="C578" s="7" t="s">
        <v>2214</v>
      </c>
      <c r="D578" s="7"/>
      <c r="E578" s="7"/>
      <c r="F578" s="7"/>
      <c r="G578" s="7"/>
      <c r="H578" s="7"/>
      <c r="I578" s="109" t="s">
        <v>2215</v>
      </c>
      <c r="J578" s="10" t="s">
        <v>2216</v>
      </c>
      <c r="K578" s="114" t="s">
        <v>2217</v>
      </c>
    </row>
    <row r="579" spans="1:13" ht="16.5">
      <c r="B579" s="7"/>
      <c r="C579" s="7"/>
      <c r="D579" s="7"/>
      <c r="E579" s="7"/>
      <c r="F579" s="7"/>
      <c r="G579" s="7"/>
      <c r="H579" s="7"/>
      <c r="I579" s="109" t="s">
        <v>2218</v>
      </c>
      <c r="J579" s="113" t="s">
        <v>1825</v>
      </c>
      <c r="K579" s="114" t="s">
        <v>2219</v>
      </c>
    </row>
    <row r="580" spans="1:13" ht="16.5" customHeight="1">
      <c r="B580" s="7"/>
      <c r="C580" s="7"/>
      <c r="D580" s="7"/>
      <c r="E580" s="7"/>
      <c r="F580" s="7"/>
      <c r="G580" s="7"/>
      <c r="H580" s="7"/>
      <c r="I580" s="109" t="s">
        <v>2220</v>
      </c>
      <c r="J580" s="109"/>
      <c r="K580" s="116"/>
    </row>
    <row r="581" spans="1:13" ht="16.5" customHeight="1">
      <c r="B581" s="7"/>
      <c r="C581" s="7"/>
      <c r="D581" s="7"/>
      <c r="E581" s="7"/>
      <c r="F581" s="7"/>
      <c r="G581" s="7"/>
      <c r="H581" s="7"/>
      <c r="I581" s="109" t="s">
        <v>2221</v>
      </c>
      <c r="J581" s="109"/>
      <c r="K581" s="116"/>
    </row>
    <row r="582" spans="1:13" ht="16.5">
      <c r="A582" t="s">
        <v>828</v>
      </c>
      <c r="B582" s="7" t="s">
        <v>821</v>
      </c>
      <c r="C582" s="7" t="s">
        <v>3</v>
      </c>
      <c r="D582" s="7"/>
      <c r="E582" s="62" t="s">
        <v>965</v>
      </c>
      <c r="F582" s="62" t="s">
        <v>965</v>
      </c>
      <c r="G582" s="142" t="s">
        <v>3</v>
      </c>
      <c r="H582" s="134">
        <v>22</v>
      </c>
      <c r="I582" s="135" t="s">
        <v>2222</v>
      </c>
      <c r="J582" s="150" t="s">
        <v>2223</v>
      </c>
      <c r="K582" s="137" t="s">
        <v>2224</v>
      </c>
      <c r="L582" s="44" t="s">
        <v>2225</v>
      </c>
      <c r="M582" s="44"/>
    </row>
    <row r="583" spans="1:13" ht="16.5">
      <c r="B583" s="7" t="s">
        <v>892</v>
      </c>
      <c r="C583" s="7"/>
      <c r="D583" s="7"/>
      <c r="E583" s="7" t="s">
        <v>965</v>
      </c>
      <c r="F583" s="7"/>
      <c r="G583" s="7"/>
      <c r="H583" s="7"/>
      <c r="I583" s="109" t="s">
        <v>2226</v>
      </c>
      <c r="J583" s="12" t="s">
        <v>2227</v>
      </c>
      <c r="K583" s="114" t="s">
        <v>2228</v>
      </c>
    </row>
    <row r="584" spans="1:13" ht="18" customHeight="1">
      <c r="A584" t="s">
        <v>828</v>
      </c>
      <c r="B584" s="7" t="s">
        <v>3</v>
      </c>
      <c r="C584" s="7" t="s">
        <v>3</v>
      </c>
      <c r="D584" s="7"/>
      <c r="E584" s="62" t="s">
        <v>965</v>
      </c>
      <c r="F584" s="62" t="s">
        <v>965</v>
      </c>
      <c r="G584" s="154"/>
      <c r="H584" s="154" t="s">
        <v>2229</v>
      </c>
      <c r="I584" s="135" t="s">
        <v>2230</v>
      </c>
      <c r="J584" s="143" t="s">
        <v>2231</v>
      </c>
      <c r="K584" s="137" t="s">
        <v>2232</v>
      </c>
      <c r="L584" s="44" t="s">
        <v>3</v>
      </c>
      <c r="M584" s="44" t="s">
        <v>2233</v>
      </c>
    </row>
    <row r="585" spans="1:13" ht="16.5">
      <c r="A585" t="s">
        <v>828</v>
      </c>
      <c r="B585" s="7"/>
      <c r="C585" s="7" t="s">
        <v>2234</v>
      </c>
      <c r="D585" s="7"/>
      <c r="E585" s="7"/>
      <c r="F585" s="7"/>
      <c r="G585" s="7"/>
      <c r="H585" s="7"/>
      <c r="I585" s="109" t="s">
        <v>2235</v>
      </c>
      <c r="J585" s="113"/>
      <c r="K585" s="114"/>
    </row>
    <row r="586" spans="1:13" ht="16.5">
      <c r="B586" s="7"/>
      <c r="C586" s="7"/>
      <c r="D586" s="7"/>
      <c r="E586" s="7"/>
      <c r="F586" s="7"/>
      <c r="G586" s="7"/>
      <c r="H586" s="7"/>
      <c r="I586" s="109" t="s">
        <v>2236</v>
      </c>
      <c r="J586" s="113" t="s">
        <v>2237</v>
      </c>
      <c r="K586" s="114" t="s">
        <v>2238</v>
      </c>
    </row>
    <row r="587" spans="1:13" ht="16.5">
      <c r="B587" s="7"/>
      <c r="C587" s="7"/>
      <c r="D587" s="7" t="s">
        <v>1277</v>
      </c>
      <c r="E587" s="7"/>
      <c r="F587" s="7"/>
      <c r="G587" s="7"/>
      <c r="H587" s="7"/>
      <c r="I587" s="109" t="s">
        <v>704</v>
      </c>
      <c r="J587" s="113" t="s">
        <v>1068</v>
      </c>
      <c r="K587" s="114"/>
    </row>
    <row r="588" spans="1:13" ht="16.5" customHeight="1">
      <c r="B588" s="7"/>
      <c r="C588" s="7"/>
      <c r="D588" s="7"/>
      <c r="E588" s="7"/>
      <c r="F588" s="7"/>
      <c r="G588" s="7"/>
      <c r="H588" s="7"/>
      <c r="K588" s="116"/>
    </row>
    <row r="589" spans="1:13" ht="16.5">
      <c r="B589" s="7"/>
      <c r="C589" s="7"/>
      <c r="D589" s="7"/>
      <c r="E589" s="7"/>
      <c r="F589" s="7"/>
      <c r="G589" s="7"/>
      <c r="H589" s="7"/>
      <c r="I589" s="109" t="s">
        <v>2239</v>
      </c>
      <c r="J589" s="131" t="s">
        <v>2240</v>
      </c>
      <c r="K589" s="114" t="s">
        <v>2241</v>
      </c>
    </row>
    <row r="590" spans="1:13" ht="16.5">
      <c r="B590" s="7"/>
      <c r="C590" s="7"/>
      <c r="D590" s="7"/>
      <c r="E590" s="7"/>
      <c r="F590" s="7"/>
      <c r="G590" s="7"/>
      <c r="H590" s="7"/>
      <c r="I590" s="16" t="s">
        <v>2242</v>
      </c>
      <c r="J590" s="21"/>
      <c r="K590" s="192" t="s">
        <v>2243</v>
      </c>
    </row>
    <row r="591" spans="1:13" ht="16.5">
      <c r="B591" s="7"/>
      <c r="C591" s="7" t="s">
        <v>2244</v>
      </c>
      <c r="D591" s="7"/>
      <c r="E591" s="7" t="s">
        <v>2245</v>
      </c>
      <c r="F591" s="7"/>
      <c r="G591" s="7"/>
      <c r="H591" s="7"/>
      <c r="I591" s="109" t="s">
        <v>2246</v>
      </c>
      <c r="J591" s="113" t="s">
        <v>2247</v>
      </c>
      <c r="K591" s="147" t="s">
        <v>2248</v>
      </c>
    </row>
    <row r="592" spans="1:13" ht="16.5">
      <c r="B592" s="7" t="s">
        <v>821</v>
      </c>
      <c r="C592" s="7"/>
      <c r="D592" s="7"/>
      <c r="E592" s="7" t="s">
        <v>833</v>
      </c>
      <c r="F592" s="7"/>
      <c r="G592" s="7"/>
      <c r="H592" s="7"/>
      <c r="I592" s="10" t="s">
        <v>2249</v>
      </c>
      <c r="J592" s="5"/>
      <c r="K592" s="114" t="s">
        <v>2250</v>
      </c>
    </row>
    <row r="593" spans="1:13" ht="16.5">
      <c r="B593" s="7"/>
      <c r="C593" s="7"/>
      <c r="D593" s="7"/>
      <c r="E593" s="7"/>
      <c r="F593" s="7"/>
      <c r="G593" s="7"/>
      <c r="H593" s="7"/>
      <c r="I593" s="109" t="s">
        <v>2251</v>
      </c>
      <c r="J593" s="5"/>
      <c r="K593" s="114"/>
    </row>
    <row r="594" spans="1:13" ht="16.5">
      <c r="B594" s="7"/>
      <c r="C594" s="7"/>
      <c r="D594" s="7"/>
      <c r="E594" s="7"/>
      <c r="F594" s="7"/>
      <c r="G594" s="7"/>
      <c r="H594" s="7"/>
      <c r="I594" s="109" t="s">
        <v>2252</v>
      </c>
      <c r="J594" s="5" t="s">
        <v>2253</v>
      </c>
      <c r="K594" s="114"/>
    </row>
    <row r="595" spans="1:13" ht="16.5">
      <c r="B595" s="7"/>
      <c r="C595" s="7"/>
      <c r="D595" s="7"/>
      <c r="E595" s="7"/>
      <c r="F595" s="7"/>
      <c r="G595" s="7"/>
      <c r="H595" s="7"/>
      <c r="I595" s="109" t="s">
        <v>2254</v>
      </c>
      <c r="J595" s="113" t="s">
        <v>2255</v>
      </c>
      <c r="K595" s="114"/>
    </row>
    <row r="596" spans="1:13" ht="16.5">
      <c r="A596" t="s">
        <v>828</v>
      </c>
      <c r="B596" s="7" t="s">
        <v>3</v>
      </c>
      <c r="C596" s="7" t="s">
        <v>3</v>
      </c>
      <c r="D596" s="7"/>
      <c r="E596" s="62" t="s">
        <v>965</v>
      </c>
      <c r="F596" s="62" t="s">
        <v>965</v>
      </c>
      <c r="G596" s="133" t="s">
        <v>3</v>
      </c>
      <c r="H596" s="134">
        <v>23</v>
      </c>
      <c r="I596" s="135" t="s">
        <v>2256</v>
      </c>
      <c r="J596" s="150" t="s">
        <v>2257</v>
      </c>
      <c r="K596" s="137" t="s">
        <v>2258</v>
      </c>
      <c r="L596" s="44" t="s">
        <v>2259</v>
      </c>
      <c r="M596" s="44"/>
    </row>
    <row r="597" spans="1:13" ht="16.5">
      <c r="B597" s="7"/>
      <c r="C597" s="7"/>
      <c r="D597" s="7"/>
      <c r="E597" s="7"/>
      <c r="F597" s="7"/>
      <c r="G597" s="7"/>
      <c r="H597" s="7"/>
      <c r="I597" s="109" t="s">
        <v>2260</v>
      </c>
      <c r="J597" s="109" t="s">
        <v>2261</v>
      </c>
      <c r="K597" s="114" t="s">
        <v>2262</v>
      </c>
    </row>
    <row r="598" spans="1:13" ht="16.5">
      <c r="B598" s="7"/>
      <c r="C598" s="7"/>
      <c r="D598" s="7"/>
      <c r="E598" s="7"/>
      <c r="F598" s="7"/>
      <c r="G598" s="7"/>
      <c r="H598" s="7"/>
      <c r="I598" s="109" t="s">
        <v>2263</v>
      </c>
      <c r="J598" s="113"/>
      <c r="K598" s="114"/>
    </row>
    <row r="599" spans="1:13" ht="16.5">
      <c r="B599" s="7"/>
      <c r="C599" s="7" t="s">
        <v>2264</v>
      </c>
      <c r="D599" s="7"/>
      <c r="E599" s="7"/>
      <c r="F599" s="7"/>
      <c r="G599" s="7"/>
      <c r="H599" s="7"/>
      <c r="I599" s="109" t="s">
        <v>2265</v>
      </c>
      <c r="J599" s="13" t="s">
        <v>2266</v>
      </c>
      <c r="K599" s="8" t="s">
        <v>2267</v>
      </c>
    </row>
    <row r="600" spans="1:13" ht="16.5">
      <c r="B600" s="7"/>
      <c r="C600" s="7"/>
      <c r="D600" s="7"/>
      <c r="E600" s="7"/>
      <c r="F600" s="7"/>
      <c r="G600" s="7"/>
      <c r="H600" s="7"/>
      <c r="I600" s="109" t="s">
        <v>2268</v>
      </c>
      <c r="J600" s="5" t="s">
        <v>2269</v>
      </c>
      <c r="K600" s="114" t="s">
        <v>2270</v>
      </c>
    </row>
    <row r="601" spans="1:13" ht="16.5">
      <c r="B601" s="7"/>
      <c r="C601" s="7"/>
      <c r="D601" s="7"/>
      <c r="E601" s="7" t="s">
        <v>965</v>
      </c>
      <c r="F601" s="7"/>
      <c r="G601" s="7"/>
      <c r="H601" s="7"/>
      <c r="I601" s="109" t="s">
        <v>2271</v>
      </c>
      <c r="J601" s="113"/>
      <c r="K601" s="114"/>
    </row>
    <row r="602" spans="1:13" ht="16.5">
      <c r="B602" s="7"/>
      <c r="C602" s="7"/>
      <c r="D602" s="7"/>
      <c r="E602" s="7"/>
      <c r="F602" s="7"/>
      <c r="G602" s="117" t="s">
        <v>559</v>
      </c>
      <c r="H602" s="7"/>
      <c r="I602" s="109" t="s">
        <v>2272</v>
      </c>
      <c r="J602" s="113"/>
      <c r="K602" s="114"/>
    </row>
    <row r="603" spans="1:13" ht="16.5">
      <c r="B603" s="7"/>
      <c r="C603" s="7"/>
      <c r="D603" s="7"/>
      <c r="E603" s="7"/>
      <c r="F603" s="7"/>
      <c r="G603" s="7"/>
      <c r="H603" s="7"/>
      <c r="I603" s="109" t="s">
        <v>2273</v>
      </c>
      <c r="J603" s="113"/>
      <c r="K603" s="114"/>
    </row>
    <row r="604" spans="1:13" ht="18" customHeight="1">
      <c r="B604" s="7"/>
      <c r="C604" s="7"/>
      <c r="D604" s="7"/>
      <c r="E604" s="7"/>
      <c r="F604" s="7"/>
      <c r="G604" s="7"/>
      <c r="H604" s="7"/>
      <c r="I604" s="109" t="s">
        <v>2274</v>
      </c>
      <c r="J604" s="5" t="s">
        <v>2275</v>
      </c>
      <c r="K604" s="114" t="s">
        <v>2276</v>
      </c>
    </row>
    <row r="605" spans="1:13" ht="16.5">
      <c r="B605" s="7"/>
      <c r="C605" s="7"/>
      <c r="D605" s="7"/>
      <c r="E605" s="7"/>
      <c r="F605" s="7"/>
      <c r="G605" s="117" t="s">
        <v>559</v>
      </c>
      <c r="H605" s="7"/>
      <c r="I605" s="109" t="s">
        <v>2277</v>
      </c>
      <c r="J605" s="113"/>
      <c r="K605" s="114"/>
    </row>
    <row r="606" spans="1:13" ht="16.5" customHeight="1">
      <c r="B606" s="7"/>
      <c r="C606" s="7"/>
      <c r="D606" s="7"/>
      <c r="E606" s="7"/>
      <c r="F606" s="7"/>
      <c r="G606" s="7"/>
      <c r="H606" s="7"/>
      <c r="I606" s="109" t="s">
        <v>2278</v>
      </c>
      <c r="J606" s="115" t="s">
        <v>2279</v>
      </c>
      <c r="K606" s="114"/>
    </row>
    <row r="607" spans="1:13" ht="16.5">
      <c r="B607" s="7"/>
      <c r="C607" s="7"/>
      <c r="D607" s="7"/>
      <c r="E607" s="7"/>
      <c r="F607" s="7"/>
      <c r="G607" s="7"/>
      <c r="H607" s="7"/>
      <c r="I607" s="109" t="s">
        <v>2280</v>
      </c>
      <c r="J607" s="12" t="s">
        <v>2281</v>
      </c>
      <c r="K607" s="114" t="s">
        <v>2282</v>
      </c>
    </row>
    <row r="608" spans="1:13" ht="16.5">
      <c r="B608" s="7"/>
      <c r="C608" s="7"/>
      <c r="D608" s="7"/>
      <c r="E608" s="7"/>
      <c r="F608" s="7"/>
      <c r="G608" s="7"/>
      <c r="H608" s="7"/>
      <c r="I608" s="109" t="s">
        <v>2283</v>
      </c>
      <c r="J608" s="113"/>
      <c r="K608" s="114"/>
    </row>
    <row r="609" spans="1:17" ht="16.5">
      <c r="B609" s="7"/>
      <c r="C609" s="7" t="s">
        <v>1051</v>
      </c>
      <c r="D609" s="7"/>
      <c r="E609" s="7"/>
      <c r="F609" s="7"/>
      <c r="G609" s="7"/>
      <c r="H609" s="7"/>
      <c r="I609" s="109" t="s">
        <v>2284</v>
      </c>
      <c r="J609" s="109" t="s">
        <v>2285</v>
      </c>
      <c r="K609" s="114" t="s">
        <v>2286</v>
      </c>
    </row>
    <row r="610" spans="1:17" ht="16.5">
      <c r="B610" s="7" t="s">
        <v>821</v>
      </c>
      <c r="C610" s="7"/>
      <c r="D610" s="7"/>
      <c r="E610" s="161" t="s">
        <v>1296</v>
      </c>
      <c r="F610" s="161"/>
      <c r="G610" s="161"/>
      <c r="H610" s="161"/>
      <c r="I610" s="109" t="s">
        <v>2287</v>
      </c>
      <c r="J610" s="5"/>
      <c r="K610" s="114"/>
    </row>
    <row r="611" spans="1:17" ht="16.5">
      <c r="B611" s="7"/>
      <c r="C611" s="7"/>
      <c r="D611" s="7"/>
      <c r="E611" s="7"/>
      <c r="F611" s="7"/>
      <c r="G611" s="7"/>
      <c r="H611" s="7"/>
      <c r="I611" s="109" t="s">
        <v>2288</v>
      </c>
      <c r="J611" s="113" t="s">
        <v>2289</v>
      </c>
      <c r="K611" s="114" t="s">
        <v>2290</v>
      </c>
    </row>
    <row r="612" spans="1:17" ht="18" customHeight="1">
      <c r="A612" t="s">
        <v>828</v>
      </c>
      <c r="B612" s="7" t="s">
        <v>881</v>
      </c>
      <c r="C612" s="7"/>
      <c r="D612" s="7"/>
      <c r="E612" s="61" t="s">
        <v>823</v>
      </c>
      <c r="F612" s="61" t="s">
        <v>823</v>
      </c>
      <c r="G612" s="104" t="s">
        <v>910</v>
      </c>
      <c r="H612" s="105"/>
      <c r="I612" s="124" t="s">
        <v>2291</v>
      </c>
      <c r="J612" s="123"/>
      <c r="K612" s="140"/>
      <c r="L612" s="59"/>
      <c r="M612" s="51"/>
      <c r="N612" s="82"/>
      <c r="O612" s="90"/>
      <c r="P612" s="82"/>
      <c r="Q612" s="3"/>
    </row>
    <row r="613" spans="1:17" ht="16.5">
      <c r="B613" s="7"/>
      <c r="C613" s="7"/>
      <c r="D613" s="7"/>
      <c r="E613" s="7" t="e" cm="1" vm="2">
        <f t="array" aca="1" ref="E613" ca="1">_xlnm.Print_Area</f>
        <v>#VALUE!</v>
      </c>
      <c r="F613" s="7"/>
      <c r="G613" s="7"/>
      <c r="H613" s="7"/>
      <c r="I613" s="111" t="s">
        <v>2292</v>
      </c>
      <c r="J613" s="113" t="s">
        <v>2293</v>
      </c>
      <c r="K613" s="114" t="s">
        <v>2294</v>
      </c>
    </row>
    <row r="614" spans="1:17" ht="16.5">
      <c r="B614" s="7" t="s">
        <v>850</v>
      </c>
      <c r="C614" s="7"/>
      <c r="D614" s="7"/>
      <c r="E614" s="7" t="s">
        <v>2241</v>
      </c>
      <c r="F614" s="7"/>
      <c r="G614" s="7"/>
      <c r="H614" s="7"/>
      <c r="I614" s="109" t="s">
        <v>2295</v>
      </c>
      <c r="J614" s="5" t="s">
        <v>2296</v>
      </c>
      <c r="K614" s="114"/>
    </row>
    <row r="615" spans="1:17" ht="16.5">
      <c r="B615" s="7"/>
      <c r="C615" s="7"/>
      <c r="D615" s="7"/>
      <c r="E615" s="7" t="s">
        <v>2297</v>
      </c>
      <c r="F615" s="7"/>
      <c r="G615" s="7"/>
      <c r="H615" s="7"/>
      <c r="I615" s="109" t="s">
        <v>2298</v>
      </c>
      <c r="J615" s="113" t="s">
        <v>2299</v>
      </c>
      <c r="K615" s="114"/>
    </row>
    <row r="616" spans="1:17" ht="16.5">
      <c r="A616" t="s">
        <v>828</v>
      </c>
      <c r="B616" s="7" t="s">
        <v>881</v>
      </c>
      <c r="C616" s="7"/>
      <c r="D616" s="7"/>
      <c r="E616" s="61" t="s">
        <v>823</v>
      </c>
      <c r="F616" s="61" t="s">
        <v>823</v>
      </c>
      <c r="G616" s="104" t="s">
        <v>910</v>
      </c>
      <c r="H616" s="105"/>
      <c r="I616" s="121" t="s">
        <v>2300</v>
      </c>
      <c r="J616" s="123"/>
      <c r="K616" s="140"/>
      <c r="L616" s="59"/>
      <c r="M616" s="51"/>
      <c r="N616" s="82"/>
      <c r="O616" s="90"/>
      <c r="P616" s="82"/>
      <c r="Q616" s="3"/>
    </row>
    <row r="617" spans="1:17" ht="16.5">
      <c r="A617" t="s">
        <v>828</v>
      </c>
      <c r="B617" s="7" t="s">
        <v>821</v>
      </c>
      <c r="C617" s="7"/>
      <c r="D617" s="7"/>
      <c r="E617" s="7" t="s">
        <v>826</v>
      </c>
      <c r="F617" s="7"/>
      <c r="G617" s="7"/>
      <c r="H617" s="7"/>
      <c r="I617" s="10" t="s">
        <v>2301</v>
      </c>
      <c r="J617" s="5" t="s">
        <v>2302</v>
      </c>
      <c r="K617" s="114" t="s">
        <v>2303</v>
      </c>
    </row>
    <row r="618" spans="1:17" ht="16.5">
      <c r="B618" s="7" t="s">
        <v>821</v>
      </c>
      <c r="C618" s="7"/>
      <c r="D618" s="7"/>
      <c r="E618" s="7" t="s">
        <v>965</v>
      </c>
      <c r="F618" s="7"/>
      <c r="G618" s="7"/>
      <c r="H618" s="7"/>
      <c r="I618" s="109" t="s">
        <v>2304</v>
      </c>
      <c r="J618" s="113"/>
      <c r="K618" s="114"/>
    </row>
    <row r="619" spans="1:17" ht="16.5">
      <c r="B619" s="7"/>
      <c r="C619" s="7"/>
      <c r="D619" s="7"/>
      <c r="E619" s="7"/>
      <c r="F619" s="7"/>
      <c r="G619" s="7"/>
      <c r="H619" s="7"/>
      <c r="I619" s="109" t="s">
        <v>2305</v>
      </c>
      <c r="J619" s="113" t="s">
        <v>910</v>
      </c>
      <c r="K619" s="114"/>
    </row>
    <row r="620" spans="1:17" ht="16.5">
      <c r="B620" s="7"/>
      <c r="C620" s="7" t="s">
        <v>1051</v>
      </c>
      <c r="D620" s="120"/>
      <c r="E620" s="7"/>
      <c r="F620" s="7"/>
      <c r="G620" s="7"/>
      <c r="H620" s="7"/>
      <c r="I620" s="109" t="s">
        <v>2306</v>
      </c>
      <c r="J620" s="157" t="s">
        <v>2307</v>
      </c>
      <c r="K620" s="210" t="s">
        <v>2308</v>
      </c>
    </row>
    <row r="621" spans="1:17" ht="16.5">
      <c r="A621" t="s">
        <v>828</v>
      </c>
      <c r="B621" s="7"/>
      <c r="C621" s="7"/>
      <c r="D621" s="7"/>
      <c r="E621" s="61" t="s">
        <v>823</v>
      </c>
      <c r="F621" s="61" t="s">
        <v>823</v>
      </c>
      <c r="G621" s="104"/>
      <c r="H621" s="105" t="e">
        <f>#REF!+1</f>
        <v>#REF!</v>
      </c>
      <c r="I621" s="106" t="s">
        <v>2306</v>
      </c>
      <c r="J621" s="202" t="s">
        <v>2307</v>
      </c>
      <c r="K621" s="203" t="s">
        <v>2308</v>
      </c>
      <c r="L621" s="60" t="s">
        <v>2309</v>
      </c>
      <c r="M621" s="60" t="s">
        <v>2310</v>
      </c>
      <c r="N621" s="82"/>
      <c r="O621" s="90" t="s">
        <v>1051</v>
      </c>
      <c r="P621" s="82"/>
      <c r="Q621" s="3"/>
    </row>
    <row r="622" spans="1:17" ht="16.5">
      <c r="B622" s="7"/>
      <c r="C622" s="7"/>
      <c r="D622" s="7"/>
      <c r="E622" s="7"/>
      <c r="F622" s="7"/>
      <c r="G622" s="7"/>
      <c r="H622" s="7"/>
      <c r="I622" s="109" t="s">
        <v>2311</v>
      </c>
      <c r="J622" s="113"/>
      <c r="K622" s="114" t="s">
        <v>2312</v>
      </c>
    </row>
    <row r="623" spans="1:17" ht="16.5" customHeight="1">
      <c r="B623" s="7"/>
      <c r="C623" s="7"/>
      <c r="D623" s="7"/>
      <c r="E623" s="7"/>
      <c r="F623" s="7"/>
      <c r="G623" s="7"/>
      <c r="H623" s="7"/>
      <c r="I623" s="109" t="s">
        <v>2313</v>
      </c>
      <c r="J623" s="11" t="s">
        <v>2314</v>
      </c>
      <c r="K623" s="116" t="s">
        <v>2315</v>
      </c>
    </row>
    <row r="624" spans="1:17" ht="16.5">
      <c r="B624" s="7"/>
      <c r="C624" s="7"/>
      <c r="D624" s="7"/>
      <c r="E624" s="7"/>
      <c r="F624" s="7"/>
      <c r="G624" s="7"/>
      <c r="H624" s="7"/>
      <c r="I624" s="109" t="s">
        <v>2316</v>
      </c>
      <c r="J624" s="113"/>
      <c r="K624" s="114" t="s">
        <v>2317</v>
      </c>
    </row>
    <row r="625" spans="1:17" ht="18" customHeight="1">
      <c r="B625" s="7" t="s">
        <v>850</v>
      </c>
      <c r="C625" s="7"/>
      <c r="D625" s="7"/>
      <c r="E625" s="7"/>
      <c r="F625" s="7"/>
      <c r="G625" s="7"/>
      <c r="H625" s="7"/>
      <c r="I625" s="110" t="s">
        <v>2318</v>
      </c>
      <c r="J625" s="111" t="s">
        <v>2307</v>
      </c>
      <c r="K625" s="119" t="s">
        <v>2319</v>
      </c>
    </row>
    <row r="626" spans="1:17" ht="16.5">
      <c r="B626" s="7"/>
      <c r="C626" s="7" t="s">
        <v>1051</v>
      </c>
      <c r="D626" s="120"/>
      <c r="E626" s="7"/>
      <c r="F626" s="7"/>
      <c r="G626" s="7"/>
      <c r="H626" s="7"/>
      <c r="I626" s="109" t="s">
        <v>2320</v>
      </c>
      <c r="J626" s="109"/>
      <c r="K626" s="132" t="s">
        <v>2321</v>
      </c>
    </row>
    <row r="627" spans="1:17" ht="16.5">
      <c r="A627" t="s">
        <v>828</v>
      </c>
      <c r="B627" s="7"/>
      <c r="C627" s="7"/>
      <c r="D627" s="7"/>
      <c r="E627" s="61" t="s">
        <v>823</v>
      </c>
      <c r="F627" s="61" t="s">
        <v>823</v>
      </c>
      <c r="G627" s="104"/>
      <c r="H627" s="105" t="e">
        <f>#REF!+1</f>
        <v>#REF!</v>
      </c>
      <c r="I627" s="106" t="s">
        <v>2320</v>
      </c>
      <c r="J627" s="106"/>
      <c r="K627" s="149" t="s">
        <v>2321</v>
      </c>
      <c r="L627" s="51"/>
      <c r="M627" s="60" t="s">
        <v>2322</v>
      </c>
      <c r="N627" s="82"/>
      <c r="O627" s="90" t="s">
        <v>1051</v>
      </c>
      <c r="P627" s="82"/>
      <c r="Q627" s="3"/>
    </row>
    <row r="628" spans="1:17" ht="16.5">
      <c r="B628" s="7"/>
      <c r="C628" s="7"/>
      <c r="D628" s="7"/>
      <c r="E628" s="7"/>
      <c r="F628" s="7"/>
      <c r="G628" s="7"/>
      <c r="H628" s="7"/>
      <c r="I628" s="109" t="s">
        <v>2323</v>
      </c>
      <c r="J628" s="113" t="s">
        <v>2324</v>
      </c>
      <c r="K628" s="114" t="s">
        <v>2325</v>
      </c>
    </row>
    <row r="629" spans="1:17" ht="16.5">
      <c r="B629" s="7"/>
      <c r="C629" s="7" t="s">
        <v>1329</v>
      </c>
      <c r="D629" s="7"/>
      <c r="E629" s="7"/>
      <c r="F629" s="7"/>
      <c r="G629" s="7"/>
      <c r="H629" s="7"/>
      <c r="I629" s="109" t="s">
        <v>2326</v>
      </c>
      <c r="J629" s="113" t="s">
        <v>1068</v>
      </c>
      <c r="K629" s="114"/>
    </row>
    <row r="630" spans="1:17" ht="16.5">
      <c r="B630" s="7"/>
      <c r="C630" s="7"/>
      <c r="D630" s="7"/>
      <c r="E630" s="7"/>
      <c r="F630" s="7"/>
      <c r="G630" s="7"/>
      <c r="H630" s="7"/>
      <c r="I630" s="16" t="s">
        <v>2327</v>
      </c>
      <c r="J630" s="21"/>
      <c r="K630" s="192" t="s">
        <v>2328</v>
      </c>
    </row>
    <row r="631" spans="1:17" ht="16.5">
      <c r="B631" s="7"/>
      <c r="C631" s="7"/>
      <c r="D631" s="7"/>
      <c r="E631" s="7" t="s">
        <v>2329</v>
      </c>
      <c r="F631" s="7"/>
      <c r="G631" s="7"/>
      <c r="H631" s="7"/>
      <c r="I631" s="109" t="s">
        <v>2330</v>
      </c>
      <c r="J631" s="5"/>
      <c r="K631" s="114" t="s">
        <v>2331</v>
      </c>
    </row>
    <row r="632" spans="1:17" ht="16.5">
      <c r="A632" t="s">
        <v>828</v>
      </c>
      <c r="B632" s="7" t="s">
        <v>3</v>
      </c>
      <c r="C632" s="7" t="s">
        <v>3</v>
      </c>
      <c r="D632" s="7"/>
      <c r="E632" s="62" t="s">
        <v>965</v>
      </c>
      <c r="F632" s="62" t="s">
        <v>965</v>
      </c>
      <c r="G632" s="133">
        <v>44943</v>
      </c>
      <c r="H632" s="134">
        <v>24</v>
      </c>
      <c r="I632" s="205" t="s">
        <v>2332</v>
      </c>
      <c r="J632" s="136" t="s">
        <v>2333</v>
      </c>
      <c r="K632" s="137" t="s">
        <v>2334</v>
      </c>
      <c r="L632" s="44" t="s">
        <v>2335</v>
      </c>
      <c r="M632" s="44"/>
    </row>
    <row r="633" spans="1:17" ht="16.5">
      <c r="B633" s="7"/>
      <c r="C633" s="7"/>
      <c r="D633" s="7"/>
      <c r="E633" s="7"/>
      <c r="F633" s="7"/>
      <c r="G633" s="7"/>
      <c r="H633" s="7"/>
      <c r="I633" s="109" t="s">
        <v>2336</v>
      </c>
      <c r="J633" s="113"/>
      <c r="K633" s="114" t="s">
        <v>2337</v>
      </c>
    </row>
    <row r="634" spans="1:17" ht="16.5">
      <c r="B634" s="7"/>
      <c r="C634" s="7"/>
      <c r="D634" s="7"/>
      <c r="E634" s="7">
        <v>25</v>
      </c>
      <c r="F634" s="7"/>
      <c r="G634" s="7"/>
      <c r="H634" s="7"/>
      <c r="I634" s="109" t="s">
        <v>2338</v>
      </c>
      <c r="J634" s="157" t="s">
        <v>3</v>
      </c>
      <c r="K634" s="132" t="s">
        <v>2339</v>
      </c>
    </row>
    <row r="635" spans="1:17" ht="16.5">
      <c r="A635" t="s">
        <v>828</v>
      </c>
      <c r="B635" s="7" t="s">
        <v>3</v>
      </c>
      <c r="C635" s="7" t="s">
        <v>3</v>
      </c>
      <c r="D635" s="7"/>
      <c r="E635" s="62" t="s">
        <v>965</v>
      </c>
      <c r="F635" s="62" t="s">
        <v>965</v>
      </c>
      <c r="G635" s="133">
        <v>44953</v>
      </c>
      <c r="H635" s="134">
        <v>25</v>
      </c>
      <c r="I635" s="135" t="s">
        <v>2338</v>
      </c>
      <c r="J635" s="150" t="s">
        <v>3</v>
      </c>
      <c r="K635" s="137" t="s">
        <v>2339</v>
      </c>
      <c r="L635" s="44" t="s">
        <v>2340</v>
      </c>
      <c r="M635" s="44"/>
      <c r="O635" s="28" t="s">
        <v>2341</v>
      </c>
    </row>
    <row r="636" spans="1:17" ht="16.5">
      <c r="B636" s="7"/>
      <c r="C636" s="7"/>
      <c r="D636" s="7"/>
      <c r="E636" s="7"/>
      <c r="F636" s="7"/>
      <c r="G636" s="7"/>
      <c r="H636" s="7"/>
      <c r="I636" s="110" t="s">
        <v>2342</v>
      </c>
      <c r="J636" s="21" t="s">
        <v>2343</v>
      </c>
      <c r="K636" s="119" t="s">
        <v>2344</v>
      </c>
    </row>
    <row r="637" spans="1:17" ht="16.5">
      <c r="B637" s="7"/>
      <c r="C637" s="7"/>
      <c r="D637" s="7"/>
      <c r="E637" s="7" t="s">
        <v>1650</v>
      </c>
      <c r="F637" s="7"/>
      <c r="G637" s="7"/>
      <c r="H637" s="7"/>
      <c r="I637" s="109" t="s">
        <v>2345</v>
      </c>
      <c r="J637" s="113"/>
      <c r="K637" s="114"/>
    </row>
    <row r="638" spans="1:17" ht="16.5">
      <c r="B638" s="7"/>
      <c r="C638" s="7"/>
      <c r="D638" s="7"/>
      <c r="E638" s="7"/>
      <c r="F638" s="7"/>
      <c r="G638" s="117" t="s">
        <v>559</v>
      </c>
      <c r="H638" s="7"/>
      <c r="I638" s="109" t="s">
        <v>2346</v>
      </c>
      <c r="J638" s="113"/>
      <c r="K638" s="114"/>
    </row>
    <row r="639" spans="1:17" ht="16.5">
      <c r="B639" s="7"/>
      <c r="C639" s="7"/>
      <c r="D639" s="7"/>
      <c r="E639" s="7"/>
      <c r="F639" s="7"/>
      <c r="G639" s="117" t="s">
        <v>559</v>
      </c>
      <c r="H639" s="7"/>
      <c r="I639" s="109" t="s">
        <v>2347</v>
      </c>
      <c r="J639" s="113"/>
      <c r="K639" s="114"/>
    </row>
    <row r="640" spans="1:17" ht="16.5">
      <c r="B640" s="7"/>
      <c r="C640" s="7"/>
      <c r="D640" s="7"/>
      <c r="E640" s="7"/>
      <c r="F640" s="7"/>
      <c r="G640" s="7"/>
      <c r="H640" s="7"/>
      <c r="I640" s="109" t="s">
        <v>2348</v>
      </c>
      <c r="J640" s="109" t="s">
        <v>2349</v>
      </c>
      <c r="K640" s="114" t="s">
        <v>2350</v>
      </c>
    </row>
    <row r="641" spans="1:17" ht="16.5">
      <c r="B641" s="7"/>
      <c r="C641" s="7"/>
      <c r="D641" s="7"/>
      <c r="E641" s="7"/>
      <c r="F641" s="7"/>
      <c r="G641" s="7"/>
      <c r="H641" s="7"/>
      <c r="I641" s="109" t="s">
        <v>2351</v>
      </c>
      <c r="J641" s="113"/>
      <c r="K641" s="114"/>
    </row>
    <row r="642" spans="1:17" ht="16.5">
      <c r="B642" s="7"/>
      <c r="C642" s="7"/>
      <c r="D642" s="7"/>
      <c r="E642" s="7"/>
      <c r="F642" s="7"/>
      <c r="G642" s="7"/>
      <c r="H642" s="7"/>
      <c r="I642" s="109" t="s">
        <v>2352</v>
      </c>
      <c r="J642" s="113"/>
      <c r="K642" s="114"/>
    </row>
    <row r="643" spans="1:17" ht="16.5" customHeight="1">
      <c r="B643" s="7"/>
      <c r="C643" s="7"/>
      <c r="D643" s="7"/>
      <c r="E643" s="7"/>
      <c r="F643" s="7"/>
      <c r="G643" s="7"/>
      <c r="H643" s="7"/>
      <c r="I643" s="109" t="s">
        <v>2353</v>
      </c>
      <c r="J643" s="109" t="s">
        <v>2354</v>
      </c>
      <c r="K643" s="116"/>
    </row>
    <row r="644" spans="1:17" ht="16.5">
      <c r="B644" s="7"/>
      <c r="C644" s="7"/>
      <c r="D644" s="7"/>
      <c r="E644" s="7"/>
      <c r="F644" s="7"/>
      <c r="G644" s="7"/>
      <c r="H644" s="7"/>
      <c r="I644" s="109" t="s">
        <v>2355</v>
      </c>
      <c r="J644" s="113"/>
      <c r="K644" s="8" t="s">
        <v>2356</v>
      </c>
    </row>
    <row r="645" spans="1:17" ht="16.5">
      <c r="A645" t="s">
        <v>824</v>
      </c>
      <c r="B645" s="7" t="s">
        <v>821</v>
      </c>
      <c r="C645" s="7"/>
      <c r="D645" s="7"/>
      <c r="E645" s="7" t="s">
        <v>826</v>
      </c>
      <c r="F645" s="7"/>
      <c r="G645" s="7"/>
      <c r="H645" s="7"/>
      <c r="I645" s="109" t="s">
        <v>2357</v>
      </c>
      <c r="J645" s="10" t="s">
        <v>2358</v>
      </c>
      <c r="K645" s="114" t="s">
        <v>2359</v>
      </c>
    </row>
    <row r="646" spans="1:17" ht="16.5">
      <c r="B646" s="7"/>
      <c r="C646" s="7"/>
      <c r="D646" s="7"/>
      <c r="E646" s="7"/>
      <c r="F646" s="7"/>
      <c r="G646" s="7"/>
      <c r="H646" s="7"/>
      <c r="I646" s="109" t="s">
        <v>2360</v>
      </c>
      <c r="J646" s="113"/>
      <c r="K646" s="114" t="s">
        <v>2361</v>
      </c>
    </row>
    <row r="647" spans="1:17" ht="16.5">
      <c r="B647" s="7"/>
      <c r="C647" s="7"/>
      <c r="D647" s="7"/>
      <c r="E647" s="7"/>
      <c r="F647" s="7"/>
      <c r="G647" s="7"/>
      <c r="H647" s="7"/>
      <c r="I647" s="109" t="s">
        <v>2362</v>
      </c>
      <c r="J647" s="113"/>
      <c r="K647" s="114" t="s">
        <v>1421</v>
      </c>
    </row>
    <row r="648" spans="1:17" ht="16.5">
      <c r="B648" s="7"/>
      <c r="C648" s="7"/>
      <c r="D648" s="7"/>
      <c r="E648" s="7"/>
      <c r="F648" s="7"/>
      <c r="G648" s="7"/>
      <c r="H648" s="7"/>
      <c r="I648" s="10" t="s">
        <v>2363</v>
      </c>
      <c r="J648" s="5"/>
      <c r="K648" s="114"/>
    </row>
    <row r="649" spans="1:17" ht="16.5">
      <c r="A649" t="s">
        <v>828</v>
      </c>
      <c r="B649" s="7" t="s">
        <v>3</v>
      </c>
      <c r="C649" s="7" t="s">
        <v>3</v>
      </c>
      <c r="D649" s="7"/>
      <c r="E649" s="62" t="s">
        <v>965</v>
      </c>
      <c r="F649" s="62" t="s">
        <v>965</v>
      </c>
      <c r="G649" s="142" t="s">
        <v>3</v>
      </c>
      <c r="H649" s="134">
        <v>26</v>
      </c>
      <c r="I649" s="135" t="s">
        <v>2364</v>
      </c>
      <c r="J649" s="136" t="s">
        <v>2365</v>
      </c>
      <c r="K649" s="137" t="s">
        <v>2366</v>
      </c>
      <c r="L649" s="44" t="s">
        <v>2367</v>
      </c>
      <c r="M649" s="44"/>
      <c r="O649" s="29" t="s">
        <v>2368</v>
      </c>
    </row>
    <row r="650" spans="1:17" ht="16.5">
      <c r="B650" s="7"/>
      <c r="C650" s="7" t="s">
        <v>854</v>
      </c>
      <c r="D650" s="7"/>
      <c r="E650" s="7"/>
      <c r="F650" s="7"/>
      <c r="G650" s="7"/>
      <c r="H650" s="7"/>
      <c r="I650" s="110" t="s">
        <v>2369</v>
      </c>
      <c r="J650" s="111" t="s">
        <v>2370</v>
      </c>
      <c r="K650" s="114" t="s">
        <v>2371</v>
      </c>
    </row>
    <row r="651" spans="1:17" ht="16.5">
      <c r="B651" s="7"/>
      <c r="C651" s="7"/>
      <c r="D651" s="7"/>
      <c r="E651" s="7" t="s">
        <v>965</v>
      </c>
      <c r="F651" s="7"/>
      <c r="G651" s="7"/>
      <c r="H651" s="7"/>
      <c r="I651" s="16" t="s">
        <v>2372</v>
      </c>
      <c r="J651" s="21"/>
      <c r="K651" s="114"/>
    </row>
    <row r="652" spans="1:17" ht="16.5">
      <c r="B652" s="7"/>
      <c r="C652" s="7"/>
      <c r="D652" s="7"/>
      <c r="E652" s="7"/>
      <c r="F652" s="7"/>
      <c r="G652" s="7"/>
      <c r="H652" s="7"/>
      <c r="I652" s="109" t="s">
        <v>2373</v>
      </c>
      <c r="J652" s="113"/>
      <c r="K652" s="114"/>
    </row>
    <row r="653" spans="1:17" ht="16.5">
      <c r="B653" s="7"/>
      <c r="C653" s="7"/>
      <c r="D653" s="7"/>
      <c r="E653" s="7"/>
      <c r="F653" s="7"/>
      <c r="G653" s="7"/>
      <c r="H653" s="7"/>
      <c r="I653" s="109" t="s">
        <v>2374</v>
      </c>
      <c r="J653" s="113" t="s">
        <v>2375</v>
      </c>
      <c r="K653" s="114"/>
    </row>
    <row r="654" spans="1:17" ht="18" customHeight="1">
      <c r="B654" s="7"/>
      <c r="C654" s="7" t="s">
        <v>2376</v>
      </c>
      <c r="D654" s="7"/>
      <c r="E654" s="7" t="s">
        <v>823</v>
      </c>
      <c r="F654" s="7"/>
      <c r="G654" s="7"/>
      <c r="H654" s="7"/>
      <c r="I654" s="110" t="s">
        <v>2377</v>
      </c>
      <c r="J654" s="111"/>
      <c r="K654" s="114"/>
    </row>
    <row r="655" spans="1:17" ht="16.5">
      <c r="A655" t="s">
        <v>828</v>
      </c>
      <c r="B655" s="7"/>
      <c r="C655" s="7" t="s">
        <v>2376</v>
      </c>
      <c r="D655" s="7"/>
      <c r="E655" s="61" t="s">
        <v>823</v>
      </c>
      <c r="F655" s="61" t="s">
        <v>823</v>
      </c>
      <c r="G655" s="104"/>
      <c r="H655" s="105" t="e">
        <f>#REF!+1</f>
        <v>#REF!</v>
      </c>
      <c r="I655" s="124" t="s">
        <v>2378</v>
      </c>
      <c r="J655" s="106"/>
      <c r="K655" s="149"/>
      <c r="L655" s="51"/>
      <c r="M655" s="188" t="s">
        <v>2379</v>
      </c>
      <c r="N655" s="82"/>
      <c r="O655" s="90" t="s">
        <v>2376</v>
      </c>
      <c r="P655" s="82"/>
      <c r="Q655" s="3"/>
    </row>
    <row r="656" spans="1:17" ht="18" customHeight="1">
      <c r="A656" t="s">
        <v>828</v>
      </c>
      <c r="B656" s="7"/>
      <c r="C656" s="7"/>
      <c r="D656" s="7"/>
      <c r="E656" s="61" t="s">
        <v>823</v>
      </c>
      <c r="F656" s="61" t="s">
        <v>823</v>
      </c>
      <c r="G656" s="104"/>
      <c r="H656" s="105" t="e">
        <f>#REF!+1</f>
        <v>#REF!</v>
      </c>
      <c r="I656" s="124" t="s">
        <v>2380</v>
      </c>
      <c r="J656" s="68" t="s">
        <v>2381</v>
      </c>
      <c r="K656" s="174" t="s">
        <v>2382</v>
      </c>
      <c r="L656" s="51"/>
      <c r="M656" s="188" t="s">
        <v>2383</v>
      </c>
      <c r="N656" s="82"/>
      <c r="O656" s="90" t="s">
        <v>2376</v>
      </c>
      <c r="P656" s="82"/>
      <c r="Q656" s="3"/>
    </row>
    <row r="657" spans="1:17" ht="16.5">
      <c r="B657" s="7"/>
      <c r="C657" s="7"/>
      <c r="D657" s="7"/>
      <c r="E657" s="7"/>
      <c r="F657" s="7"/>
      <c r="G657" s="7"/>
      <c r="H657" s="7"/>
      <c r="I657" s="109" t="s">
        <v>2384</v>
      </c>
      <c r="J657" s="118">
        <v>44378</v>
      </c>
      <c r="K657" s="114" t="s">
        <v>499</v>
      </c>
    </row>
    <row r="658" spans="1:17" ht="18" customHeight="1">
      <c r="B658" s="7"/>
      <c r="C658" s="7" t="s">
        <v>2385</v>
      </c>
      <c r="D658" s="7"/>
      <c r="E658" s="7"/>
      <c r="F658" s="7"/>
      <c r="G658" s="7"/>
      <c r="H658" s="7"/>
      <c r="I658" s="109" t="s">
        <v>2386</v>
      </c>
      <c r="J658" s="113" t="s">
        <v>1068</v>
      </c>
      <c r="K658" s="114"/>
    </row>
    <row r="659" spans="1:17" ht="18" customHeight="1">
      <c r="B659" s="7" t="s">
        <v>892</v>
      </c>
      <c r="C659" s="7" t="s">
        <v>822</v>
      </c>
      <c r="D659" s="7"/>
      <c r="E659" s="7" t="s">
        <v>1356</v>
      </c>
      <c r="F659" s="7"/>
      <c r="G659" s="7"/>
      <c r="H659" s="7"/>
      <c r="I659" s="109" t="s">
        <v>2387</v>
      </c>
      <c r="J659" s="111" t="s">
        <v>2388</v>
      </c>
      <c r="K659" s="119" t="s">
        <v>2389</v>
      </c>
    </row>
    <row r="660" spans="1:17" ht="18" customHeight="1">
      <c r="A660" t="s">
        <v>828</v>
      </c>
      <c r="B660" s="7"/>
      <c r="C660" s="7"/>
      <c r="D660" s="7"/>
      <c r="E660" s="61" t="s">
        <v>823</v>
      </c>
      <c r="F660" s="61" t="s">
        <v>823</v>
      </c>
      <c r="G660" s="104"/>
      <c r="H660" s="105" t="e">
        <f>#REF!+1</f>
        <v>#REF!</v>
      </c>
      <c r="I660" s="106" t="s">
        <v>2387</v>
      </c>
      <c r="J660" s="68" t="s">
        <v>2390</v>
      </c>
      <c r="K660" s="174" t="s">
        <v>2391</v>
      </c>
      <c r="L660" s="51"/>
      <c r="M660" s="51"/>
      <c r="N660" s="82"/>
      <c r="O660" s="90" t="s">
        <v>854</v>
      </c>
      <c r="P660" s="82"/>
      <c r="Q660" s="3"/>
    </row>
    <row r="661" spans="1:17" ht="16.5">
      <c r="B661" s="7"/>
      <c r="C661" s="7"/>
      <c r="D661" s="7"/>
      <c r="E661" s="7"/>
      <c r="F661" s="7"/>
      <c r="G661" s="7"/>
      <c r="H661" s="7"/>
      <c r="I661" s="109" t="s">
        <v>2392</v>
      </c>
      <c r="J661" s="118">
        <v>43404</v>
      </c>
      <c r="K661" s="114" t="s">
        <v>2393</v>
      </c>
    </row>
    <row r="662" spans="1:17" ht="16.5">
      <c r="B662" s="7" t="s">
        <v>821</v>
      </c>
      <c r="C662" s="7"/>
      <c r="D662" s="7"/>
      <c r="E662" s="7" t="s">
        <v>833</v>
      </c>
      <c r="F662" s="7"/>
      <c r="G662" s="7"/>
      <c r="H662" s="7"/>
      <c r="I662" s="109" t="s">
        <v>2394</v>
      </c>
      <c r="J662" s="19" t="s">
        <v>2395</v>
      </c>
      <c r="K662" s="114"/>
    </row>
    <row r="663" spans="1:17" ht="18" customHeight="1">
      <c r="B663" s="7" t="s">
        <v>821</v>
      </c>
      <c r="C663" s="7"/>
      <c r="D663" s="7"/>
      <c r="E663" s="7" t="s">
        <v>833</v>
      </c>
      <c r="F663" s="7"/>
      <c r="G663" s="7"/>
      <c r="H663" s="7"/>
      <c r="I663" s="109" t="s">
        <v>2396</v>
      </c>
      <c r="J663" s="113" t="s">
        <v>2397</v>
      </c>
      <c r="K663" s="114"/>
    </row>
    <row r="664" spans="1:17" ht="16.5">
      <c r="B664" s="7"/>
      <c r="C664" s="7"/>
      <c r="D664" s="7"/>
      <c r="E664" s="7"/>
      <c r="F664" s="7"/>
      <c r="G664" s="7"/>
      <c r="H664" s="7"/>
      <c r="I664" s="109" t="s">
        <v>2398</v>
      </c>
      <c r="J664" s="131" t="s">
        <v>2399</v>
      </c>
      <c r="K664" s="114" t="s">
        <v>2400</v>
      </c>
    </row>
    <row r="665" spans="1:17" ht="16.5">
      <c r="B665" s="7"/>
      <c r="C665" s="7"/>
      <c r="D665" s="7"/>
      <c r="E665" s="7"/>
      <c r="F665" s="7"/>
      <c r="G665" s="7"/>
      <c r="H665" s="7"/>
      <c r="I665" s="109" t="s">
        <v>2401</v>
      </c>
      <c r="J665" s="113" t="s">
        <v>2402</v>
      </c>
      <c r="K665" s="114" t="s">
        <v>2403</v>
      </c>
    </row>
    <row r="666" spans="1:17" ht="16.5">
      <c r="B666" s="7"/>
      <c r="C666" s="7"/>
      <c r="D666" s="7"/>
      <c r="E666" s="7"/>
      <c r="F666" s="7"/>
      <c r="G666" s="7"/>
      <c r="H666" s="7"/>
      <c r="I666" s="109" t="s">
        <v>2404</v>
      </c>
      <c r="J666" s="113" t="s">
        <v>2405</v>
      </c>
      <c r="K666" s="114" t="s">
        <v>2406</v>
      </c>
    </row>
    <row r="667" spans="1:17" ht="16.5">
      <c r="B667" s="7" t="s">
        <v>821</v>
      </c>
      <c r="C667" s="7" t="s">
        <v>1051</v>
      </c>
      <c r="D667" s="7"/>
      <c r="E667" s="7" t="s">
        <v>833</v>
      </c>
      <c r="F667" s="7"/>
      <c r="G667" s="7"/>
      <c r="H667" s="7"/>
      <c r="I667" s="10" t="s">
        <v>746</v>
      </c>
      <c r="J667" s="5"/>
      <c r="K667" s="114"/>
    </row>
    <row r="668" spans="1:17" ht="18" customHeight="1">
      <c r="B668" s="7"/>
      <c r="C668" s="7"/>
      <c r="D668" s="7"/>
      <c r="E668" s="7"/>
      <c r="F668" s="7"/>
      <c r="G668" s="7"/>
      <c r="H668" s="7"/>
      <c r="I668" s="211" t="s">
        <v>2407</v>
      </c>
      <c r="J668" s="113"/>
      <c r="K668" s="114"/>
    </row>
    <row r="669" spans="1:17" ht="16.5" customHeight="1">
      <c r="B669" s="7"/>
      <c r="C669" s="7"/>
      <c r="D669" s="7"/>
      <c r="E669" s="7"/>
      <c r="F669" s="7"/>
      <c r="G669" s="7"/>
      <c r="H669" s="7"/>
      <c r="I669" s="109" t="s">
        <v>2408</v>
      </c>
      <c r="J669" s="109" t="s">
        <v>2409</v>
      </c>
      <c r="K669" s="116"/>
    </row>
    <row r="670" spans="1:17" ht="16.5">
      <c r="B670" s="7"/>
      <c r="C670" s="7"/>
      <c r="D670" s="7"/>
      <c r="E670" s="7"/>
      <c r="F670" s="7"/>
      <c r="G670" s="7"/>
      <c r="H670" s="7"/>
      <c r="I670" s="109" t="s">
        <v>2410</v>
      </c>
      <c r="J670" s="109"/>
      <c r="K670" s="114" t="s">
        <v>2411</v>
      </c>
    </row>
    <row r="671" spans="1:17" ht="18" customHeight="1">
      <c r="B671" s="7"/>
      <c r="C671" s="7"/>
      <c r="D671" s="7"/>
      <c r="E671" s="7"/>
      <c r="F671" s="7"/>
      <c r="G671" s="7"/>
      <c r="H671" s="7"/>
      <c r="I671" s="109" t="s">
        <v>2412</v>
      </c>
      <c r="J671" s="113"/>
      <c r="K671" s="114" t="s">
        <v>2413</v>
      </c>
    </row>
    <row r="672" spans="1:17" ht="16.5" customHeight="1">
      <c r="B672" s="7"/>
      <c r="C672" s="7" t="s">
        <v>1051</v>
      </c>
      <c r="D672" s="7"/>
      <c r="E672" s="7"/>
      <c r="F672" s="7"/>
      <c r="G672" s="7"/>
      <c r="H672" s="7"/>
      <c r="I672" s="109" t="s">
        <v>2414</v>
      </c>
      <c r="J672" s="109" t="s">
        <v>2415</v>
      </c>
      <c r="K672" s="116"/>
    </row>
    <row r="673" spans="1:17" ht="18" customHeight="1">
      <c r="B673" s="7"/>
      <c r="C673" s="7"/>
      <c r="D673" s="7"/>
      <c r="E673" s="7" t="s">
        <v>1356</v>
      </c>
      <c r="F673" s="7"/>
      <c r="G673" s="7"/>
      <c r="H673" s="7"/>
      <c r="I673" s="109" t="s">
        <v>2416</v>
      </c>
      <c r="J673" s="5" t="s">
        <v>2417</v>
      </c>
      <c r="K673" s="114" t="s">
        <v>2418</v>
      </c>
    </row>
    <row r="674" spans="1:17" ht="18" customHeight="1">
      <c r="B674" s="7" t="s">
        <v>821</v>
      </c>
      <c r="C674" s="7" t="s">
        <v>825</v>
      </c>
      <c r="D674" s="7"/>
      <c r="E674" s="7"/>
      <c r="F674" s="7"/>
      <c r="G674" s="7"/>
      <c r="H674" s="7"/>
      <c r="I674" s="109" t="s">
        <v>2419</v>
      </c>
      <c r="J674" s="113" t="s">
        <v>2420</v>
      </c>
      <c r="K674" s="114" t="s">
        <v>2421</v>
      </c>
    </row>
    <row r="675" spans="1:17" ht="16.5" customHeight="1">
      <c r="B675" s="7"/>
      <c r="C675" s="7"/>
      <c r="D675" s="7"/>
      <c r="E675" s="7"/>
      <c r="F675" s="7"/>
      <c r="G675" s="7"/>
      <c r="H675" s="7"/>
      <c r="I675" s="109" t="s">
        <v>2422</v>
      </c>
      <c r="J675" s="115" t="s">
        <v>964</v>
      </c>
      <c r="K675" s="114"/>
    </row>
    <row r="676" spans="1:17" ht="16.5" customHeight="1">
      <c r="B676" s="7"/>
      <c r="C676" s="7"/>
      <c r="D676" s="7"/>
      <c r="E676" s="7"/>
      <c r="F676" s="7"/>
      <c r="G676" s="7"/>
      <c r="H676" s="7"/>
      <c r="I676" s="109" t="s">
        <v>2423</v>
      </c>
      <c r="J676" s="115" t="s">
        <v>1786</v>
      </c>
      <c r="K676" s="114"/>
    </row>
    <row r="677" spans="1:17" ht="16.5">
      <c r="B677" s="7" t="s">
        <v>1006</v>
      </c>
      <c r="C677" s="7" t="s">
        <v>2424</v>
      </c>
      <c r="D677" s="7" t="s">
        <v>2425</v>
      </c>
      <c r="E677" s="112"/>
      <c r="F677" s="112"/>
      <c r="G677" s="112"/>
      <c r="H677" s="112"/>
      <c r="I677" s="109" t="s">
        <v>2426</v>
      </c>
      <c r="J677" s="5" t="s">
        <v>2427</v>
      </c>
      <c r="K677" s="114" t="s">
        <v>2428</v>
      </c>
    </row>
    <row r="678" spans="1:17" ht="16.5" customHeight="1">
      <c r="B678" s="7"/>
      <c r="C678" s="7"/>
      <c r="D678" s="7"/>
      <c r="E678" s="7"/>
      <c r="F678" s="7"/>
      <c r="G678" s="7"/>
      <c r="H678" s="7"/>
      <c r="I678" s="109" t="s">
        <v>2429</v>
      </c>
      <c r="J678" s="109" t="s">
        <v>2430</v>
      </c>
      <c r="K678" s="116"/>
    </row>
    <row r="679" spans="1:17" ht="16.5">
      <c r="A679" t="s">
        <v>828</v>
      </c>
      <c r="B679" s="7"/>
      <c r="C679" s="7"/>
      <c r="D679" s="7"/>
      <c r="E679" s="61" t="s">
        <v>823</v>
      </c>
      <c r="F679" s="61" t="s">
        <v>823</v>
      </c>
      <c r="G679" s="104"/>
      <c r="H679" s="105"/>
      <c r="I679" s="121" t="s">
        <v>2431</v>
      </c>
      <c r="J679" s="123"/>
      <c r="K679" s="140"/>
      <c r="L679" s="59"/>
      <c r="M679" s="51"/>
      <c r="N679" s="82"/>
      <c r="O679" s="90"/>
      <c r="P679" s="82"/>
      <c r="Q679" s="3"/>
    </row>
    <row r="680" spans="1:17" ht="16.5">
      <c r="B680" s="120" t="s">
        <v>850</v>
      </c>
      <c r="C680" s="7" t="s">
        <v>2376</v>
      </c>
      <c r="D680" s="7" t="s">
        <v>1007</v>
      </c>
      <c r="E680" s="112"/>
      <c r="F680" s="112"/>
      <c r="G680" s="112"/>
      <c r="H680" s="112"/>
      <c r="I680" s="110" t="s">
        <v>2432</v>
      </c>
      <c r="J680" s="21" t="s">
        <v>2433</v>
      </c>
      <c r="K680" s="114" t="s">
        <v>2434</v>
      </c>
    </row>
    <row r="681" spans="1:17" ht="18" customHeight="1">
      <c r="A681" t="s">
        <v>828</v>
      </c>
      <c r="B681" s="7" t="s">
        <v>816</v>
      </c>
      <c r="C681" s="7"/>
      <c r="D681" s="7"/>
      <c r="E681" s="61" t="s">
        <v>823</v>
      </c>
      <c r="F681" s="61" t="s">
        <v>823</v>
      </c>
      <c r="G681" s="104" t="s">
        <v>910</v>
      </c>
      <c r="H681" s="105" t="e">
        <f>#REF!+1</f>
        <v>#REF!</v>
      </c>
      <c r="I681" s="124" t="s">
        <v>2432</v>
      </c>
      <c r="J681" s="123" t="s">
        <v>2433</v>
      </c>
      <c r="K681" s="108" t="s">
        <v>2434</v>
      </c>
      <c r="L681" s="59"/>
      <c r="M681" s="51" t="s">
        <v>2435</v>
      </c>
      <c r="N681" s="82"/>
      <c r="O681" s="90" t="s">
        <v>2376</v>
      </c>
      <c r="P681" s="82" t="s">
        <v>850</v>
      </c>
      <c r="Q681" s="82" t="s">
        <v>1007</v>
      </c>
    </row>
    <row r="682" spans="1:17" ht="16.5">
      <c r="B682" s="7"/>
      <c r="C682" s="7"/>
      <c r="D682" s="7"/>
      <c r="E682" s="7"/>
      <c r="F682" s="7"/>
      <c r="G682" s="7"/>
      <c r="H682" s="7"/>
      <c r="I682" s="109" t="s">
        <v>2436</v>
      </c>
      <c r="J682" s="118">
        <v>43539</v>
      </c>
      <c r="K682" s="114" t="s">
        <v>2437</v>
      </c>
    </row>
    <row r="683" spans="1:17" ht="16.5">
      <c r="B683" s="7" t="s">
        <v>850</v>
      </c>
      <c r="C683" s="7"/>
      <c r="D683" s="7"/>
      <c r="E683" s="7"/>
      <c r="F683" s="7"/>
      <c r="G683" s="7"/>
      <c r="H683" s="7"/>
      <c r="I683" s="10" t="s">
        <v>2438</v>
      </c>
      <c r="J683" s="5"/>
      <c r="K683" s="114"/>
    </row>
    <row r="684" spans="1:17" ht="16.5">
      <c r="B684" s="7"/>
      <c r="C684" s="7" t="s">
        <v>898</v>
      </c>
      <c r="D684" s="120"/>
      <c r="E684" s="7"/>
      <c r="F684" s="7"/>
      <c r="G684" s="7"/>
      <c r="H684" s="7"/>
      <c r="I684" s="109" t="s">
        <v>2439</v>
      </c>
      <c r="J684" s="12" t="s">
        <v>2440</v>
      </c>
      <c r="K684" s="114" t="s">
        <v>2441</v>
      </c>
    </row>
    <row r="685" spans="1:17" ht="18" customHeight="1">
      <c r="A685" t="s">
        <v>828</v>
      </c>
      <c r="B685" s="7" t="s">
        <v>850</v>
      </c>
      <c r="C685" s="7" t="s">
        <v>1329</v>
      </c>
      <c r="D685" s="7"/>
      <c r="E685" s="61" t="s">
        <v>823</v>
      </c>
      <c r="F685" s="61" t="s">
        <v>823</v>
      </c>
      <c r="G685" s="104"/>
      <c r="H685" s="105" t="e">
        <f>#REF!+1</f>
        <v>#REF!</v>
      </c>
      <c r="I685" s="106" t="s">
        <v>2439</v>
      </c>
      <c r="J685" s="65" t="s">
        <v>2440</v>
      </c>
      <c r="K685" s="108" t="s">
        <v>2441</v>
      </c>
      <c r="L685" s="59"/>
      <c r="M685" s="51"/>
      <c r="N685" s="82"/>
      <c r="O685" s="90" t="s">
        <v>898</v>
      </c>
      <c r="P685" s="82"/>
      <c r="Q685" s="3"/>
    </row>
    <row r="686" spans="1:17" ht="18" customHeight="1">
      <c r="B686" s="7"/>
      <c r="C686" s="7"/>
      <c r="D686" s="7"/>
      <c r="E686" s="7"/>
      <c r="F686" s="7"/>
      <c r="G686" s="7"/>
      <c r="H686" s="7"/>
      <c r="I686" s="109" t="s">
        <v>2442</v>
      </c>
      <c r="J686" s="113"/>
      <c r="K686" s="114"/>
    </row>
    <row r="687" spans="1:17" ht="18" customHeight="1">
      <c r="B687" s="7" t="s">
        <v>850</v>
      </c>
      <c r="C687" s="7"/>
      <c r="D687" s="7"/>
      <c r="E687" s="7"/>
      <c r="F687" s="7"/>
      <c r="G687" s="7"/>
      <c r="H687" s="7"/>
      <c r="I687" s="109" t="s">
        <v>2443</v>
      </c>
      <c r="J687" s="113"/>
      <c r="K687" s="114" t="s">
        <v>2444</v>
      </c>
    </row>
    <row r="688" spans="1:17" ht="16.5">
      <c r="B688" s="7"/>
      <c r="C688" s="7"/>
      <c r="D688" s="7"/>
      <c r="E688" s="7"/>
      <c r="F688" s="7"/>
      <c r="G688" s="7"/>
      <c r="H688" s="7"/>
      <c r="I688" s="109" t="s">
        <v>2445</v>
      </c>
      <c r="J688" s="113"/>
      <c r="K688" s="114"/>
    </row>
    <row r="689" spans="1:11" ht="16.5">
      <c r="B689" s="7" t="s">
        <v>821</v>
      </c>
      <c r="C689" s="7"/>
      <c r="D689" s="7"/>
      <c r="E689" s="7" t="s">
        <v>833</v>
      </c>
      <c r="F689" s="7"/>
      <c r="G689" s="7"/>
      <c r="H689" s="7"/>
      <c r="I689" s="109" t="s">
        <v>2446</v>
      </c>
      <c r="J689" s="5" t="s">
        <v>2447</v>
      </c>
      <c r="K689" s="114" t="s">
        <v>2448</v>
      </c>
    </row>
    <row r="690" spans="1:11" ht="16.5" customHeight="1">
      <c r="B690" s="7"/>
      <c r="C690" s="7"/>
      <c r="D690" s="7"/>
      <c r="E690" s="7"/>
      <c r="F690" s="7"/>
      <c r="G690" s="7"/>
      <c r="H690" s="7"/>
      <c r="I690" s="109" t="s">
        <v>2449</v>
      </c>
      <c r="J690" s="131" t="s">
        <v>2450</v>
      </c>
      <c r="K690" s="116"/>
    </row>
    <row r="691" spans="1:11" ht="16.5">
      <c r="B691" s="7"/>
      <c r="C691" s="7"/>
      <c r="D691" s="7"/>
      <c r="E691" s="7"/>
      <c r="F691" s="7"/>
      <c r="G691" s="7"/>
      <c r="H691" s="7"/>
      <c r="I691" s="109" t="s">
        <v>2451</v>
      </c>
      <c r="J691" s="113"/>
      <c r="K691" s="114"/>
    </row>
    <row r="692" spans="1:11" ht="16.5">
      <c r="B692" s="7"/>
      <c r="C692" s="7"/>
      <c r="D692" s="7"/>
      <c r="E692" s="7"/>
      <c r="F692" s="7"/>
      <c r="G692" s="7"/>
      <c r="H692" s="7"/>
      <c r="I692" s="109"/>
      <c r="J692" s="113"/>
      <c r="K692" s="114"/>
    </row>
    <row r="693" spans="1:11" ht="16.5" customHeight="1">
      <c r="B693" s="7"/>
      <c r="C693" s="7"/>
      <c r="D693" s="7"/>
      <c r="E693" s="7"/>
      <c r="F693" s="7"/>
      <c r="G693" s="7"/>
      <c r="H693" s="7"/>
      <c r="I693" s="109" t="s">
        <v>2452</v>
      </c>
      <c r="J693" s="109"/>
      <c r="K693" s="116"/>
    </row>
    <row r="694" spans="1:11" ht="16.5">
      <c r="B694" s="7"/>
      <c r="C694" s="7"/>
      <c r="D694" s="7"/>
      <c r="E694" s="7"/>
      <c r="F694" s="7"/>
      <c r="G694" s="7"/>
      <c r="H694" s="7"/>
      <c r="I694" s="110" t="s">
        <v>3</v>
      </c>
      <c r="J694" s="111"/>
      <c r="K694" s="114"/>
    </row>
    <row r="695" spans="1:11" ht="16.5">
      <c r="A695" t="s">
        <v>828</v>
      </c>
      <c r="B695" s="7" t="s">
        <v>821</v>
      </c>
      <c r="C695" s="7"/>
      <c r="D695" s="7"/>
      <c r="E695" s="7" t="s">
        <v>826</v>
      </c>
      <c r="F695" s="7"/>
      <c r="G695" s="7"/>
      <c r="H695" s="7"/>
      <c r="I695" s="10" t="s">
        <v>2453</v>
      </c>
      <c r="J695" s="5" t="s">
        <v>2454</v>
      </c>
      <c r="K695" s="114"/>
    </row>
    <row r="696" spans="1:11" ht="18.75" customHeight="1">
      <c r="B696" s="7"/>
      <c r="C696" s="7" t="s">
        <v>2455</v>
      </c>
      <c r="D696" s="7"/>
      <c r="E696" s="7" t="s">
        <v>965</v>
      </c>
      <c r="F696" s="7"/>
      <c r="G696" s="7"/>
      <c r="H696" s="7"/>
      <c r="I696" s="109" t="s">
        <v>2456</v>
      </c>
      <c r="J696" s="113" t="s">
        <v>2457</v>
      </c>
      <c r="K696" s="114"/>
    </row>
    <row r="697" spans="1:11" ht="16.5">
      <c r="B697" s="7"/>
      <c r="C697" s="7"/>
      <c r="D697" s="7"/>
      <c r="E697" s="7"/>
      <c r="F697" s="7"/>
      <c r="G697" s="7"/>
      <c r="H697" s="7"/>
      <c r="I697" s="109" t="s">
        <v>2458</v>
      </c>
      <c r="J697" s="113"/>
      <c r="K697" s="114"/>
    </row>
    <row r="698" spans="1:11" ht="16.5" customHeight="1">
      <c r="B698" s="7"/>
      <c r="C698" s="7" t="s">
        <v>2459</v>
      </c>
      <c r="D698" s="7"/>
      <c r="E698" s="7"/>
      <c r="F698" s="7"/>
      <c r="G698" s="7"/>
      <c r="H698" s="7"/>
      <c r="I698" s="109" t="s">
        <v>2460</v>
      </c>
      <c r="J698" s="109" t="s">
        <v>2461</v>
      </c>
      <c r="K698" s="116"/>
    </row>
    <row r="699" spans="1:11" ht="16.5">
      <c r="A699" t="s">
        <v>828</v>
      </c>
      <c r="B699" s="7" t="s">
        <v>892</v>
      </c>
      <c r="C699" s="7" t="s">
        <v>2462</v>
      </c>
      <c r="D699" s="7"/>
      <c r="E699" s="7" t="s">
        <v>826</v>
      </c>
      <c r="F699" s="7"/>
      <c r="G699" s="7"/>
      <c r="H699" s="7"/>
      <c r="I699" s="109" t="s">
        <v>2463</v>
      </c>
      <c r="J699" s="5" t="s">
        <v>2464</v>
      </c>
      <c r="K699" s="114"/>
    </row>
    <row r="700" spans="1:11" ht="16.5">
      <c r="B700" s="7"/>
      <c r="C700" s="7"/>
      <c r="D700" s="7"/>
      <c r="E700" s="7"/>
      <c r="F700" s="7"/>
      <c r="G700" s="7"/>
      <c r="H700" s="7"/>
      <c r="I700" s="211" t="s">
        <v>2465</v>
      </c>
      <c r="J700" s="113"/>
      <c r="K700" s="114"/>
    </row>
    <row r="701" spans="1:11" ht="16.5" customHeight="1">
      <c r="B701" s="7"/>
      <c r="C701" s="7"/>
      <c r="D701" s="7"/>
      <c r="E701" s="7"/>
      <c r="F701" s="7"/>
      <c r="G701" s="7"/>
      <c r="H701" s="7"/>
      <c r="I701" s="109" t="s">
        <v>916</v>
      </c>
      <c r="J701" s="113" t="s">
        <v>914</v>
      </c>
      <c r="K701" s="114"/>
    </row>
    <row r="702" spans="1:11" ht="16.5">
      <c r="B702" s="7"/>
      <c r="C702" s="7"/>
      <c r="D702" s="7"/>
      <c r="E702" s="7"/>
      <c r="F702" s="7"/>
      <c r="G702" s="7"/>
      <c r="H702" s="7"/>
      <c r="I702" s="109" t="s">
        <v>921</v>
      </c>
      <c r="J702" s="113" t="s">
        <v>2466</v>
      </c>
      <c r="K702" s="114"/>
    </row>
    <row r="703" spans="1:11" ht="16.5">
      <c r="B703" s="7"/>
      <c r="C703" s="7" t="s">
        <v>1314</v>
      </c>
      <c r="D703" s="7"/>
      <c r="E703" s="7"/>
      <c r="F703" s="7"/>
      <c r="G703" s="7"/>
      <c r="H703" s="7"/>
      <c r="I703" s="109" t="s">
        <v>1840</v>
      </c>
      <c r="J703" s="109" t="s">
        <v>1841</v>
      </c>
      <c r="K703" s="132"/>
    </row>
    <row r="704" spans="1:11" ht="16.5">
      <c r="B704" s="7"/>
      <c r="C704" s="7"/>
      <c r="D704" s="7"/>
      <c r="E704" s="7"/>
      <c r="F704" s="7"/>
      <c r="G704" s="7"/>
      <c r="H704" s="7"/>
      <c r="I704" s="109" t="s">
        <v>1840</v>
      </c>
      <c r="J704" s="109" t="s">
        <v>1841</v>
      </c>
      <c r="K704" s="132"/>
    </row>
    <row r="705" spans="2:11" ht="16.5" customHeight="1">
      <c r="B705" s="7"/>
      <c r="C705" s="7"/>
      <c r="D705" s="7"/>
      <c r="E705" s="7"/>
      <c r="F705" s="7"/>
      <c r="G705" s="7"/>
      <c r="H705" s="7"/>
      <c r="I705" s="109"/>
      <c r="J705" s="109" t="s">
        <v>2467</v>
      </c>
      <c r="K705" s="116"/>
    </row>
    <row r="706" spans="2:11" ht="16.5" customHeight="1">
      <c r="B706" s="7"/>
      <c r="C706" s="7"/>
      <c r="D706" s="7"/>
      <c r="E706" s="7"/>
      <c r="F706" s="7"/>
      <c r="G706" s="7"/>
      <c r="H706" s="7"/>
      <c r="I706" s="109"/>
      <c r="J706" s="109" t="s">
        <v>2468</v>
      </c>
      <c r="K706" s="116" t="s">
        <v>2469</v>
      </c>
    </row>
    <row r="707" spans="2:11" ht="16.5">
      <c r="B707" s="7"/>
      <c r="C707" s="7" t="s">
        <v>1314</v>
      </c>
      <c r="D707" s="7"/>
      <c r="E707" s="7"/>
      <c r="F707" s="7"/>
      <c r="G707" s="7"/>
      <c r="H707" s="7"/>
      <c r="I707" s="109" t="s">
        <v>1842</v>
      </c>
      <c r="J707" s="109" t="s">
        <v>1843</v>
      </c>
      <c r="K707" s="132"/>
    </row>
    <row r="708" spans="2:11" ht="16.5">
      <c r="B708" s="7"/>
      <c r="C708" s="7"/>
      <c r="D708" s="7"/>
      <c r="E708" s="7"/>
      <c r="F708" s="7"/>
      <c r="G708" s="7"/>
      <c r="H708" s="7"/>
      <c r="I708" s="109" t="s">
        <v>1842</v>
      </c>
      <c r="J708" s="109" t="s">
        <v>1843</v>
      </c>
      <c r="K708" s="132"/>
    </row>
    <row r="709" spans="2:11" ht="16.5">
      <c r="B709" s="7"/>
      <c r="C709" s="7"/>
      <c r="D709" s="7"/>
      <c r="E709" s="7"/>
      <c r="F709" s="7"/>
      <c r="G709" s="7"/>
      <c r="H709" s="7"/>
      <c r="I709" s="146" t="s">
        <v>2470</v>
      </c>
      <c r="J709" s="146" t="s">
        <v>2471</v>
      </c>
      <c r="K709" s="132" t="s">
        <v>2472</v>
      </c>
    </row>
    <row r="710" spans="2:11" ht="16.5" customHeight="1">
      <c r="B710" s="7"/>
      <c r="C710" s="7"/>
      <c r="D710" s="7"/>
      <c r="E710" s="7"/>
      <c r="F710" s="7"/>
      <c r="G710" s="7"/>
      <c r="H710" s="7"/>
      <c r="I710" s="109" t="s">
        <v>2473</v>
      </c>
      <c r="J710" s="109" t="s">
        <v>2474</v>
      </c>
      <c r="K710" s="116"/>
    </row>
    <row r="711" spans="2:11" ht="16.5">
      <c r="B711" s="7"/>
      <c r="C711" s="7"/>
      <c r="D711" s="7"/>
      <c r="E711" s="7"/>
      <c r="F711" s="7"/>
      <c r="G711" s="7"/>
      <c r="H711" s="7"/>
      <c r="I711" s="109" t="s">
        <v>1828</v>
      </c>
      <c r="J711" s="113" t="s">
        <v>2475</v>
      </c>
      <c r="K711" s="114"/>
    </row>
    <row r="712" spans="2:11" ht="16.5">
      <c r="B712" s="7"/>
      <c r="C712" s="7"/>
      <c r="D712" s="7"/>
      <c r="E712" s="7"/>
      <c r="F712" s="7"/>
      <c r="G712" s="7"/>
      <c r="H712" s="7"/>
      <c r="I712" s="109"/>
      <c r="J712" s="13"/>
      <c r="K712" s="8"/>
    </row>
    <row r="713" spans="2:11" ht="18" customHeight="1">
      <c r="B713" s="7"/>
      <c r="C713" s="7" t="s">
        <v>854</v>
      </c>
      <c r="D713" s="7"/>
      <c r="E713" s="7"/>
      <c r="F713" s="129"/>
      <c r="G713" s="129"/>
      <c r="H713" s="129"/>
      <c r="I713" s="130" t="s">
        <v>1844</v>
      </c>
      <c r="J713" s="109" t="s">
        <v>1845</v>
      </c>
      <c r="K713" s="132"/>
    </row>
    <row r="714" spans="2:11" ht="18" customHeight="1">
      <c r="B714" s="7"/>
      <c r="C714" s="7"/>
      <c r="D714" s="7"/>
      <c r="E714" s="7"/>
      <c r="F714" s="129"/>
      <c r="G714" s="129"/>
      <c r="H714" s="129"/>
      <c r="I714" s="130" t="s">
        <v>1844</v>
      </c>
      <c r="J714" s="109" t="s">
        <v>1845</v>
      </c>
      <c r="K714" s="132"/>
    </row>
    <row r="715" spans="2:11" ht="16.5" customHeight="1">
      <c r="B715" s="7"/>
      <c r="C715" s="7"/>
      <c r="D715" s="7"/>
      <c r="E715" s="7"/>
      <c r="F715" s="7"/>
      <c r="G715" s="7"/>
      <c r="H715" s="7"/>
      <c r="I715" s="109"/>
      <c r="J715" s="109"/>
      <c r="K715" s="116"/>
    </row>
    <row r="716" spans="2:11" ht="18" customHeight="1">
      <c r="B716" s="7"/>
      <c r="C716" s="7"/>
      <c r="D716" s="7"/>
      <c r="E716" s="7"/>
      <c r="F716" s="7"/>
      <c r="G716" s="7"/>
      <c r="H716" s="7"/>
      <c r="I716" s="131" t="s">
        <v>2476</v>
      </c>
      <c r="J716" s="109" t="s">
        <v>2477</v>
      </c>
      <c r="K716" s="114" t="s">
        <v>2478</v>
      </c>
    </row>
    <row r="717" spans="2:11" ht="18" customHeight="1">
      <c r="B717" s="7"/>
      <c r="C717" s="7"/>
      <c r="D717" s="7"/>
      <c r="E717" s="7"/>
      <c r="F717" s="7"/>
      <c r="G717" s="7"/>
      <c r="H717" s="7"/>
      <c r="I717" s="11" t="s">
        <v>2479</v>
      </c>
      <c r="J717" s="113" t="s">
        <v>2480</v>
      </c>
      <c r="K717" s="114" t="s">
        <v>2481</v>
      </c>
    </row>
    <row r="718" spans="2:11" ht="16.5">
      <c r="B718" s="7"/>
      <c r="C718" s="7"/>
      <c r="D718" s="7"/>
      <c r="E718" s="7"/>
      <c r="F718" s="7"/>
      <c r="G718" s="7"/>
      <c r="H718" s="7"/>
      <c r="I718" s="109" t="s">
        <v>918</v>
      </c>
      <c r="J718" s="113" t="s">
        <v>2482</v>
      </c>
      <c r="K718" s="114"/>
    </row>
    <row r="719" spans="2:11" ht="16.5" customHeight="1">
      <c r="B719" s="7"/>
      <c r="C719" s="7"/>
      <c r="D719" s="7"/>
      <c r="E719" s="7"/>
      <c r="F719" s="7"/>
      <c r="G719" s="7"/>
      <c r="H719" s="7"/>
      <c r="I719" s="109"/>
      <c r="J719" s="109"/>
      <c r="K719" s="116"/>
    </row>
    <row r="720" spans="2:11" ht="18" customHeight="1">
      <c r="B720" s="7"/>
      <c r="C720" s="7"/>
      <c r="D720" s="7"/>
      <c r="E720" s="7"/>
      <c r="F720" s="7"/>
      <c r="G720" s="7"/>
      <c r="H720" s="7"/>
      <c r="I720" s="109" t="s">
        <v>2483</v>
      </c>
      <c r="J720" s="113" t="s">
        <v>2484</v>
      </c>
      <c r="K720" s="114" t="s">
        <v>2485</v>
      </c>
    </row>
    <row r="721" spans="2:11" ht="16.5" customHeight="1">
      <c r="B721" s="7"/>
      <c r="C721" s="7"/>
      <c r="D721" s="7"/>
      <c r="E721" s="7"/>
      <c r="F721" s="7"/>
      <c r="G721" s="7"/>
      <c r="H721" s="7"/>
      <c r="I721" s="109"/>
      <c r="J721" s="109"/>
      <c r="K721" s="116"/>
    </row>
    <row r="722" spans="2:11" ht="16.5">
      <c r="B722" s="7"/>
      <c r="C722" s="7"/>
      <c r="D722" s="7"/>
      <c r="E722" s="7"/>
      <c r="F722" s="7"/>
      <c r="G722" s="7"/>
      <c r="H722" s="7"/>
      <c r="I722" s="109"/>
      <c r="J722" s="5"/>
      <c r="K722" s="114"/>
    </row>
    <row r="723" spans="2:11" ht="16.5">
      <c r="B723" s="7"/>
      <c r="C723" s="7"/>
      <c r="D723" s="7"/>
      <c r="E723" s="7"/>
      <c r="F723" s="7"/>
      <c r="G723" s="7"/>
      <c r="H723" s="7"/>
      <c r="I723" s="109"/>
      <c r="J723" s="5"/>
      <c r="K723" s="147"/>
    </row>
    <row r="724" spans="2:11" ht="16.5">
      <c r="B724" s="7"/>
      <c r="C724" s="7"/>
      <c r="D724" s="7"/>
      <c r="E724" s="7"/>
      <c r="F724" s="7"/>
      <c r="G724" s="7"/>
      <c r="H724" s="7"/>
      <c r="I724" s="109"/>
      <c r="J724" s="5"/>
      <c r="K724" s="114" t="s">
        <v>2486</v>
      </c>
    </row>
    <row r="725" spans="2:11" ht="16.5">
      <c r="B725" s="7"/>
      <c r="C725" s="7"/>
      <c r="D725" s="7"/>
      <c r="E725" s="7"/>
      <c r="F725" s="7"/>
      <c r="G725" s="7"/>
      <c r="H725" s="7"/>
      <c r="I725" s="109"/>
      <c r="J725" s="5"/>
      <c r="K725" s="114"/>
    </row>
    <row r="726" spans="2:11" ht="16.5">
      <c r="B726" s="7"/>
      <c r="C726" s="7"/>
      <c r="D726" s="7"/>
      <c r="E726" s="7"/>
      <c r="F726" s="7"/>
      <c r="G726" s="7"/>
      <c r="H726" s="7"/>
      <c r="I726" s="109"/>
      <c r="J726" s="13" t="s">
        <v>2487</v>
      </c>
      <c r="K726" s="114"/>
    </row>
    <row r="727" spans="2:11" ht="16.5">
      <c r="B727" s="7"/>
      <c r="C727" s="7"/>
      <c r="D727" s="7"/>
      <c r="E727" s="7"/>
      <c r="F727" s="7"/>
      <c r="G727" s="7"/>
      <c r="H727" s="7"/>
      <c r="I727" s="109"/>
      <c r="J727" s="5"/>
      <c r="K727" s="114"/>
    </row>
    <row r="728" spans="2:11" ht="18" customHeight="1">
      <c r="B728" s="7"/>
      <c r="C728" s="7"/>
      <c r="D728" s="7"/>
      <c r="E728" s="7"/>
      <c r="F728" s="7"/>
      <c r="G728" s="7"/>
      <c r="H728" s="7"/>
      <c r="I728" s="109"/>
      <c r="J728" s="109"/>
      <c r="K728" s="116"/>
    </row>
    <row r="729" spans="2:11" ht="16.5">
      <c r="B729" s="7"/>
      <c r="C729" s="7"/>
      <c r="D729" s="7"/>
      <c r="E729" s="7"/>
      <c r="F729" s="7"/>
      <c r="G729" s="7"/>
      <c r="H729" s="7"/>
      <c r="I729" s="109"/>
      <c r="J729" s="109"/>
      <c r="K729" s="147" t="s">
        <v>2488</v>
      </c>
    </row>
    <row r="730" spans="2:11" ht="16.5" customHeight="1">
      <c r="B730" s="7"/>
      <c r="C730" s="7"/>
      <c r="D730" s="7"/>
      <c r="E730" s="7"/>
      <c r="F730" s="7"/>
      <c r="G730" s="7"/>
      <c r="H730" s="7"/>
      <c r="I730" s="109"/>
      <c r="J730" s="109"/>
      <c r="K730" s="116"/>
    </row>
    <row r="731" spans="2:11" ht="16.5" customHeight="1">
      <c r="B731" s="7"/>
      <c r="C731" s="7"/>
      <c r="D731" s="7"/>
      <c r="E731" s="7"/>
      <c r="F731" s="7"/>
      <c r="G731" s="7"/>
      <c r="H731" s="7"/>
      <c r="I731" s="109"/>
      <c r="J731" s="109"/>
      <c r="K731" s="116"/>
    </row>
    <row r="732" spans="2:11" ht="16.5" customHeight="1">
      <c r="B732" s="7"/>
      <c r="C732" s="7"/>
      <c r="D732" s="7"/>
      <c r="E732" s="7"/>
      <c r="F732" s="7"/>
      <c r="G732" s="7"/>
      <c r="H732" s="7"/>
      <c r="I732" s="109"/>
      <c r="J732" s="109"/>
      <c r="K732" s="116"/>
    </row>
    <row r="733" spans="2:11" ht="16.5" customHeight="1">
      <c r="B733" s="7"/>
      <c r="C733" s="7"/>
      <c r="D733" s="7"/>
      <c r="E733" s="7"/>
      <c r="F733" s="7"/>
      <c r="G733" s="7"/>
      <c r="H733" s="7"/>
      <c r="I733" s="109"/>
      <c r="J733" s="109"/>
      <c r="K733" s="116"/>
    </row>
    <row r="734" spans="2:11" ht="16.5">
      <c r="B734" s="7"/>
      <c r="C734" s="7"/>
      <c r="D734" s="7"/>
      <c r="E734" s="7"/>
      <c r="F734" s="7"/>
      <c r="G734" s="7"/>
      <c r="H734" s="7"/>
      <c r="I734" s="109"/>
      <c r="J734" s="5"/>
      <c r="K734" s="114"/>
    </row>
    <row r="735" spans="2:11" ht="16.5">
      <c r="B735" s="7"/>
      <c r="C735" s="7"/>
      <c r="D735" s="7"/>
      <c r="E735" s="7"/>
      <c r="F735" s="7"/>
      <c r="G735" s="7"/>
      <c r="H735" s="7"/>
      <c r="I735" s="109"/>
      <c r="J735" s="17" t="s">
        <v>2489</v>
      </c>
      <c r="K735" s="114" t="s">
        <v>2490</v>
      </c>
    </row>
    <row r="736" spans="2:11" ht="18" customHeight="1">
      <c r="B736" s="7"/>
      <c r="C736" s="7"/>
      <c r="D736" s="7"/>
      <c r="E736" s="7"/>
      <c r="F736" s="7"/>
      <c r="G736" s="7"/>
      <c r="H736" s="7"/>
      <c r="I736" s="109"/>
      <c r="J736" s="113"/>
      <c r="K736" s="114"/>
    </row>
    <row r="737" spans="2:11" ht="16.5">
      <c r="B737" s="7"/>
      <c r="C737" s="7"/>
      <c r="D737" s="7"/>
      <c r="E737" s="7"/>
      <c r="F737" s="7"/>
      <c r="G737" s="7"/>
      <c r="H737" s="7"/>
      <c r="I737" s="109"/>
      <c r="J737" s="113"/>
      <c r="K737" s="114"/>
    </row>
    <row r="738" spans="2:11" ht="16.5">
      <c r="B738" s="7"/>
      <c r="C738" s="7"/>
      <c r="D738" s="7"/>
      <c r="E738" s="7"/>
      <c r="F738" s="7"/>
      <c r="G738" s="7"/>
      <c r="H738" s="7"/>
      <c r="I738" s="109"/>
      <c r="J738" s="156" t="s">
        <v>2491</v>
      </c>
      <c r="K738" s="114"/>
    </row>
    <row r="739" spans="2:11" ht="16.5">
      <c r="B739" s="7"/>
      <c r="C739" s="7"/>
      <c r="D739" s="7"/>
      <c r="E739" s="7"/>
      <c r="F739" s="7"/>
      <c r="G739" s="7"/>
      <c r="H739" s="7"/>
      <c r="I739" s="109"/>
      <c r="J739" s="113"/>
      <c r="K739" s="114"/>
    </row>
    <row r="740" spans="2:11" ht="16.5">
      <c r="B740" s="7"/>
      <c r="C740" s="7"/>
      <c r="D740" s="7"/>
      <c r="E740" s="7"/>
      <c r="F740" s="7"/>
      <c r="G740" s="7"/>
      <c r="H740" s="7"/>
      <c r="I740" s="109"/>
      <c r="J740" s="113"/>
      <c r="K740" s="114"/>
    </row>
    <row r="741" spans="2:11" ht="16.5">
      <c r="B741" s="7"/>
      <c r="C741" s="7"/>
      <c r="D741" s="7"/>
      <c r="E741" s="7"/>
      <c r="F741" s="7"/>
      <c r="G741" s="7"/>
      <c r="H741" s="7"/>
      <c r="I741" s="109"/>
      <c r="J741" s="113"/>
      <c r="K741" s="114"/>
    </row>
    <row r="742" spans="2:11" ht="16.5">
      <c r="B742" s="7"/>
      <c r="C742" s="7"/>
      <c r="D742" s="7"/>
      <c r="E742" s="7"/>
      <c r="F742" s="7"/>
      <c r="G742" s="7"/>
      <c r="H742" s="7"/>
      <c r="I742" s="109"/>
      <c r="J742" s="113"/>
      <c r="K742" s="114"/>
    </row>
    <row r="743" spans="2:11" ht="16.5">
      <c r="B743" s="7"/>
      <c r="C743" s="7"/>
      <c r="D743" s="7"/>
      <c r="E743" s="7"/>
      <c r="F743" s="7"/>
      <c r="G743" s="7"/>
      <c r="H743" s="7"/>
      <c r="I743" s="109"/>
      <c r="J743" s="113"/>
      <c r="K743" s="114"/>
    </row>
    <row r="744" spans="2:11" ht="18" customHeight="1">
      <c r="B744" s="7"/>
      <c r="C744" s="7"/>
      <c r="D744" s="7"/>
      <c r="E744" s="7"/>
      <c r="F744" s="7"/>
      <c r="G744" s="7"/>
      <c r="H744" s="7"/>
      <c r="I744" s="109"/>
      <c r="J744" s="113"/>
      <c r="K744" s="114"/>
    </row>
    <row r="745" spans="2:11" ht="16.5">
      <c r="B745" s="7"/>
      <c r="C745" s="7"/>
      <c r="D745" s="7"/>
      <c r="E745" s="7"/>
      <c r="F745" s="7"/>
      <c r="G745" s="7"/>
      <c r="H745" s="7"/>
      <c r="I745" s="109"/>
      <c r="J745" s="113"/>
      <c r="K745" s="114"/>
    </row>
    <row r="746" spans="2:11" ht="16.5">
      <c r="B746" s="7"/>
      <c r="C746" s="7"/>
      <c r="D746" s="7"/>
      <c r="E746" s="7"/>
      <c r="F746" s="7"/>
      <c r="G746" s="7"/>
      <c r="H746" s="7"/>
      <c r="I746" s="109"/>
      <c r="J746" s="113"/>
      <c r="K746" s="114"/>
    </row>
    <row r="747" spans="2:11" ht="16.5">
      <c r="B747" s="7"/>
      <c r="C747" s="7"/>
      <c r="D747" s="7"/>
      <c r="E747" s="7"/>
      <c r="F747" s="7"/>
      <c r="G747" s="7"/>
      <c r="H747" s="7"/>
      <c r="I747" s="109"/>
      <c r="J747" s="113"/>
      <c r="K747" s="114"/>
    </row>
    <row r="748" spans="2:11" ht="16.5">
      <c r="B748" s="7"/>
      <c r="C748" s="7"/>
      <c r="D748" s="7"/>
      <c r="E748" s="7"/>
      <c r="F748" s="7"/>
      <c r="G748" s="7"/>
      <c r="H748" s="7"/>
      <c r="I748" s="109"/>
      <c r="J748" s="113"/>
      <c r="K748" s="114"/>
    </row>
    <row r="749" spans="2:11" ht="16.5">
      <c r="B749" s="7"/>
      <c r="C749" s="7"/>
      <c r="D749" s="7"/>
      <c r="E749" s="7"/>
      <c r="F749" s="7"/>
      <c r="G749" s="7"/>
      <c r="H749" s="7"/>
      <c r="I749" s="109"/>
      <c r="J749" s="113"/>
      <c r="K749" s="114"/>
    </row>
    <row r="750" spans="2:11" ht="16.5">
      <c r="B750" s="7"/>
      <c r="C750" s="7"/>
      <c r="D750" s="7"/>
      <c r="E750" s="7"/>
      <c r="F750" s="7"/>
      <c r="G750" s="7"/>
      <c r="H750" s="7"/>
      <c r="I750" s="109"/>
      <c r="J750" s="113" t="s">
        <v>2492</v>
      </c>
      <c r="K750" s="114"/>
    </row>
    <row r="751" spans="2:11" ht="16.5">
      <c r="B751" s="7"/>
      <c r="C751" s="7"/>
      <c r="D751" s="7"/>
      <c r="E751" s="7"/>
      <c r="F751" s="7"/>
      <c r="G751" s="7"/>
      <c r="H751" s="7"/>
      <c r="I751" s="109"/>
      <c r="J751" s="113"/>
      <c r="K751" s="114"/>
    </row>
    <row r="752" spans="2:11" ht="16.5">
      <c r="B752" s="7"/>
      <c r="C752" s="7"/>
      <c r="D752" s="7"/>
      <c r="E752" s="7"/>
      <c r="F752" s="7"/>
      <c r="G752" s="7"/>
      <c r="H752" s="7"/>
      <c r="I752" s="109"/>
      <c r="J752" s="113"/>
      <c r="K752" s="114"/>
    </row>
    <row r="753" spans="2:11" ht="16.5">
      <c r="B753" s="7"/>
      <c r="C753" s="7"/>
      <c r="D753" s="7"/>
      <c r="E753" s="7"/>
      <c r="F753" s="7"/>
      <c r="G753" s="7"/>
      <c r="H753" s="7"/>
      <c r="I753" s="109"/>
      <c r="J753" s="113"/>
      <c r="K753" s="114"/>
    </row>
    <row r="754" spans="2:11" ht="16.5" customHeight="1">
      <c r="B754" s="7"/>
      <c r="C754" s="7"/>
      <c r="D754" s="7"/>
      <c r="E754" s="7"/>
      <c r="F754" s="7"/>
      <c r="G754" s="7"/>
      <c r="H754" s="7"/>
      <c r="I754" s="109"/>
      <c r="J754" s="109"/>
      <c r="K754" s="116"/>
    </row>
    <row r="755" spans="2:11" ht="16.5" customHeight="1">
      <c r="B755" s="7"/>
      <c r="C755" s="7"/>
      <c r="D755" s="7"/>
      <c r="E755" s="7"/>
      <c r="F755" s="7"/>
      <c r="G755" s="7"/>
      <c r="H755" s="7"/>
      <c r="I755" s="109"/>
      <c r="J755" s="109"/>
      <c r="K755" s="116"/>
    </row>
    <row r="756" spans="2:11" ht="16.5" customHeight="1">
      <c r="B756" s="7"/>
      <c r="C756" s="7"/>
      <c r="D756" s="7"/>
      <c r="E756" s="7"/>
      <c r="F756" s="7"/>
      <c r="G756" s="7"/>
      <c r="H756" s="7"/>
      <c r="I756" s="109"/>
      <c r="J756" s="109"/>
      <c r="K756" s="116"/>
    </row>
    <row r="757" spans="2:11" ht="16.5" customHeight="1">
      <c r="B757" s="7"/>
      <c r="C757" s="7"/>
      <c r="D757" s="7"/>
      <c r="E757" s="7"/>
      <c r="F757" s="7"/>
      <c r="G757" s="7"/>
      <c r="H757" s="7"/>
      <c r="I757" s="109"/>
      <c r="J757" s="109"/>
      <c r="K757" s="116"/>
    </row>
    <row r="758" spans="2:11" ht="16.5">
      <c r="B758" s="7"/>
      <c r="C758" s="7"/>
      <c r="D758" s="7"/>
      <c r="E758" s="7"/>
      <c r="F758" s="7"/>
      <c r="G758" s="7"/>
      <c r="H758" s="7"/>
      <c r="I758" s="109"/>
      <c r="J758" s="109" t="s">
        <v>2493</v>
      </c>
      <c r="K758" s="114" t="s">
        <v>2494</v>
      </c>
    </row>
    <row r="759" spans="2:11" ht="18">
      <c r="B759" s="7"/>
      <c r="C759" s="7"/>
      <c r="D759" s="7"/>
      <c r="E759" s="7"/>
      <c r="F759" s="7"/>
      <c r="G759" s="7"/>
      <c r="H759" s="7"/>
      <c r="I759" s="109"/>
      <c r="J759" s="109"/>
      <c r="K759" s="116"/>
    </row>
    <row r="760" spans="2:11" ht="16.5">
      <c r="B760" s="7"/>
      <c r="C760" s="7"/>
      <c r="D760" s="7"/>
      <c r="E760" s="7"/>
      <c r="F760" s="7"/>
      <c r="G760" s="7"/>
      <c r="H760" s="7"/>
      <c r="I760" s="109" t="s">
        <v>2495</v>
      </c>
      <c r="J760" s="109" t="s">
        <v>2496</v>
      </c>
      <c r="K760" s="147" t="s">
        <v>2497</v>
      </c>
    </row>
    <row r="761" spans="2:11" ht="16.5" customHeight="1">
      <c r="B761" s="7"/>
      <c r="C761" s="7"/>
      <c r="D761" s="7"/>
      <c r="E761" s="7"/>
      <c r="F761" s="7"/>
      <c r="G761" s="7"/>
      <c r="H761" s="7"/>
      <c r="I761" s="109" t="s">
        <v>2495</v>
      </c>
      <c r="J761" s="109" t="s">
        <v>2496</v>
      </c>
      <c r="K761" s="116"/>
    </row>
    <row r="762" spans="2:11" ht="16.5" customHeight="1">
      <c r="B762" s="7"/>
      <c r="C762" s="7"/>
      <c r="D762" s="7"/>
      <c r="E762" s="7"/>
      <c r="F762" s="7"/>
      <c r="G762" s="7"/>
      <c r="H762" s="7"/>
      <c r="I762" s="109" t="s">
        <v>2498</v>
      </c>
      <c r="J762" s="113" t="s">
        <v>2499</v>
      </c>
      <c r="K762" s="116"/>
    </row>
    <row r="763" spans="2:11" ht="16.5" customHeight="1">
      <c r="B763" s="7"/>
      <c r="C763" s="7"/>
      <c r="D763" s="112"/>
      <c r="E763" s="7" t="s">
        <v>2500</v>
      </c>
      <c r="F763" s="7"/>
      <c r="G763" s="7"/>
      <c r="H763" s="7"/>
      <c r="I763" s="109" t="s">
        <v>2501</v>
      </c>
      <c r="J763" s="109"/>
      <c r="K763" s="116"/>
    </row>
    <row r="764" spans="2:11" ht="18">
      <c r="B764" s="7"/>
      <c r="C764" s="7"/>
      <c r="D764" s="7"/>
      <c r="E764" s="7"/>
      <c r="F764" s="7"/>
      <c r="G764" s="7"/>
      <c r="H764" s="7"/>
      <c r="I764" s="109"/>
      <c r="J764" s="109"/>
      <c r="K764" s="116"/>
    </row>
    <row r="765" spans="2:11" ht="18">
      <c r="B765" s="7"/>
      <c r="C765" s="7"/>
      <c r="D765" s="7"/>
      <c r="E765" s="7"/>
      <c r="F765" s="7"/>
      <c r="G765" s="7"/>
      <c r="H765" s="7"/>
      <c r="I765" s="109"/>
      <c r="J765" s="109"/>
      <c r="K765" s="116"/>
    </row>
    <row r="766" spans="2:11" ht="18">
      <c r="B766" s="7"/>
      <c r="C766" s="7"/>
      <c r="D766" s="7"/>
      <c r="E766" s="7"/>
      <c r="F766" s="7"/>
      <c r="G766" s="7"/>
      <c r="H766" s="7"/>
      <c r="I766" s="109"/>
      <c r="J766" s="212"/>
      <c r="K766" s="116"/>
    </row>
    <row r="767" spans="2:11" ht="16.5" customHeight="1">
      <c r="B767" s="7"/>
      <c r="C767" s="7"/>
      <c r="D767" s="7"/>
      <c r="E767" s="7"/>
      <c r="F767" s="7"/>
      <c r="G767" s="7"/>
      <c r="H767" s="7"/>
      <c r="I767" s="109"/>
      <c r="J767" s="109"/>
      <c r="K767" s="116"/>
    </row>
    <row r="768" spans="2:11" ht="16.5" customHeight="1">
      <c r="B768" s="7"/>
      <c r="C768" s="7"/>
      <c r="D768" s="7"/>
      <c r="E768" s="7"/>
      <c r="F768" s="7"/>
      <c r="G768" s="7"/>
      <c r="H768" s="7"/>
      <c r="I768" s="109"/>
      <c r="J768" s="109"/>
      <c r="K768" s="116"/>
    </row>
    <row r="769" spans="2:11" ht="16.5" customHeight="1">
      <c r="B769" s="7"/>
      <c r="C769" s="7"/>
      <c r="D769" s="7"/>
      <c r="E769" s="7"/>
      <c r="F769" s="7"/>
      <c r="G769" s="7"/>
      <c r="H769" s="7"/>
      <c r="I769" s="109"/>
      <c r="J769" s="109"/>
      <c r="K769" s="116"/>
    </row>
    <row r="770" spans="2:11" ht="18" customHeight="1">
      <c r="B770" s="7"/>
      <c r="C770" s="7"/>
      <c r="D770" s="7"/>
      <c r="E770" s="7"/>
      <c r="F770" s="7"/>
      <c r="G770" s="7"/>
      <c r="H770" s="7"/>
      <c r="I770" s="109"/>
      <c r="J770" s="109" t="s">
        <v>2502</v>
      </c>
      <c r="K770" s="8" t="s">
        <v>2503</v>
      </c>
    </row>
    <row r="771" spans="2:11" ht="16.5">
      <c r="B771" s="7"/>
      <c r="C771" s="7"/>
      <c r="D771" s="7"/>
      <c r="E771" s="7"/>
      <c r="F771" s="7"/>
      <c r="G771" s="7"/>
      <c r="H771" s="7"/>
      <c r="I771" s="109"/>
      <c r="J771" s="109"/>
      <c r="K771" s="8"/>
    </row>
    <row r="772" spans="2:11" ht="16.5" customHeight="1">
      <c r="B772" s="7"/>
      <c r="C772" s="7"/>
      <c r="D772" s="7"/>
      <c r="E772" s="7"/>
      <c r="F772" s="7"/>
      <c r="G772" s="7"/>
      <c r="H772" s="7"/>
      <c r="I772" s="109"/>
      <c r="J772" s="109"/>
      <c r="K772" s="116"/>
    </row>
    <row r="773" spans="2:11" ht="16.5" customHeight="1">
      <c r="B773" s="7"/>
      <c r="C773" s="7"/>
      <c r="D773" s="7"/>
      <c r="E773" s="7"/>
      <c r="F773" s="7"/>
      <c r="G773" s="7"/>
      <c r="H773" s="7"/>
      <c r="I773" s="109"/>
      <c r="J773" s="109"/>
      <c r="K773" s="116"/>
    </row>
    <row r="774" spans="2:11" ht="16.5" customHeight="1">
      <c r="B774" s="7"/>
      <c r="C774" s="7"/>
      <c r="D774" s="7"/>
      <c r="E774" s="7"/>
      <c r="F774" s="7"/>
      <c r="G774" s="7"/>
      <c r="H774" s="7"/>
      <c r="I774" s="109"/>
      <c r="J774" s="109" t="s">
        <v>2504</v>
      </c>
      <c r="K774" s="116"/>
    </row>
    <row r="775" spans="2:11" ht="16.5" customHeight="1">
      <c r="B775" s="7"/>
      <c r="C775" s="7"/>
      <c r="D775" s="7"/>
      <c r="E775" s="7"/>
      <c r="F775" s="7"/>
      <c r="G775" s="7"/>
      <c r="H775" s="7"/>
      <c r="I775" s="109"/>
      <c r="J775" s="109"/>
      <c r="K775" s="116"/>
    </row>
    <row r="776" spans="2:11" ht="16.5" customHeight="1">
      <c r="B776" s="7"/>
      <c r="C776" s="7"/>
      <c r="D776" s="7"/>
      <c r="E776" s="7"/>
      <c r="F776" s="7"/>
      <c r="G776" s="7"/>
      <c r="H776" s="7"/>
      <c r="I776" s="109"/>
      <c r="J776" s="109"/>
      <c r="K776" s="116"/>
    </row>
    <row r="777" spans="2:11" ht="16.5" customHeight="1">
      <c r="B777" s="7"/>
      <c r="C777" s="7"/>
      <c r="D777" s="7"/>
      <c r="E777" s="7"/>
      <c r="F777" s="7"/>
      <c r="G777" s="7"/>
      <c r="H777" s="7"/>
      <c r="I777" s="109"/>
      <c r="J777" s="109"/>
      <c r="K777" s="116"/>
    </row>
    <row r="778" spans="2:11" ht="16.5" customHeight="1">
      <c r="B778" s="7"/>
      <c r="C778" s="7"/>
      <c r="D778" s="7"/>
      <c r="E778" s="7"/>
      <c r="F778" s="7"/>
      <c r="G778" s="7"/>
      <c r="H778" s="7"/>
      <c r="I778" s="109"/>
      <c r="J778" s="109" t="s">
        <v>2505</v>
      </c>
      <c r="K778" s="116"/>
    </row>
    <row r="779" spans="2:11" ht="16.5" customHeight="1">
      <c r="B779" s="7"/>
      <c r="C779" s="7"/>
      <c r="D779" s="7"/>
      <c r="E779" s="7"/>
      <c r="F779" s="7"/>
      <c r="G779" s="7"/>
      <c r="H779" s="7"/>
      <c r="I779" s="109"/>
      <c r="J779" s="109"/>
      <c r="K779" s="116"/>
    </row>
    <row r="780" spans="2:11" ht="16.5" customHeight="1">
      <c r="B780" s="7"/>
      <c r="C780" s="7"/>
      <c r="D780" s="7"/>
      <c r="E780" s="7"/>
      <c r="F780" s="7"/>
      <c r="G780" s="7"/>
      <c r="H780" s="7"/>
      <c r="I780" s="109"/>
      <c r="J780" s="109" t="s">
        <v>2506</v>
      </c>
      <c r="K780" s="116"/>
    </row>
    <row r="781" spans="2:11" ht="18">
      <c r="B781" s="7"/>
      <c r="C781" s="7"/>
      <c r="D781" s="7"/>
      <c r="E781" s="7"/>
      <c r="F781" s="7"/>
      <c r="G781" s="7"/>
      <c r="H781" s="7"/>
      <c r="I781" s="109"/>
      <c r="J781" s="109"/>
      <c r="K781" s="116"/>
    </row>
    <row r="782" spans="2:11" ht="16.5" customHeight="1">
      <c r="B782" s="7"/>
      <c r="C782" s="7"/>
      <c r="D782" s="7"/>
      <c r="E782" s="7"/>
      <c r="F782" s="7"/>
      <c r="G782" s="7"/>
      <c r="H782" s="7"/>
      <c r="I782" s="109"/>
      <c r="J782" s="109"/>
      <c r="K782" s="116"/>
    </row>
    <row r="783" spans="2:11" ht="16.5" customHeight="1">
      <c r="B783" s="7"/>
      <c r="C783" s="7"/>
      <c r="D783" s="7"/>
      <c r="E783" s="7"/>
      <c r="F783" s="7"/>
      <c r="G783" s="7"/>
      <c r="H783" s="7"/>
      <c r="I783" s="109"/>
      <c r="J783" s="109"/>
      <c r="K783" s="116"/>
    </row>
    <row r="784" spans="2:11" ht="16.5" customHeight="1">
      <c r="B784" s="7"/>
      <c r="C784" s="7"/>
      <c r="D784" s="7"/>
      <c r="E784" s="7"/>
      <c r="F784" s="7"/>
      <c r="G784" s="7"/>
      <c r="H784" s="7"/>
      <c r="I784" s="109"/>
      <c r="J784" s="109"/>
      <c r="K784" s="116"/>
    </row>
    <row r="785" spans="2:11" ht="16.5" customHeight="1">
      <c r="B785" s="7"/>
      <c r="C785" s="7"/>
      <c r="D785" s="7"/>
      <c r="E785" s="7"/>
      <c r="F785" s="7"/>
      <c r="G785" s="7"/>
      <c r="H785" s="7"/>
      <c r="I785" s="109"/>
      <c r="J785" s="109"/>
      <c r="K785" s="116"/>
    </row>
    <row r="786" spans="2:11" ht="16.5" customHeight="1">
      <c r="B786" s="7"/>
      <c r="C786" s="7"/>
      <c r="D786" s="7"/>
      <c r="E786" s="7"/>
      <c r="F786" s="7"/>
      <c r="G786" s="7"/>
      <c r="H786" s="7"/>
      <c r="I786" s="109"/>
      <c r="J786" s="109"/>
      <c r="K786" s="116"/>
    </row>
    <row r="787" spans="2:11" ht="16.5" customHeight="1">
      <c r="B787" s="7"/>
      <c r="C787" s="7"/>
      <c r="D787" s="7"/>
      <c r="E787" s="7"/>
      <c r="F787" s="7"/>
      <c r="G787" s="7"/>
      <c r="H787" s="7"/>
      <c r="I787" s="109"/>
      <c r="J787" s="109"/>
      <c r="K787" s="116"/>
    </row>
    <row r="788" spans="2:11" ht="16.5" customHeight="1">
      <c r="B788" s="7"/>
      <c r="C788" s="7"/>
      <c r="D788" s="7"/>
      <c r="E788" s="7"/>
      <c r="F788" s="7"/>
      <c r="G788" s="7"/>
      <c r="H788" s="7"/>
      <c r="I788" s="109"/>
      <c r="J788" s="109"/>
      <c r="K788" s="116"/>
    </row>
    <row r="789" spans="2:11" ht="16.5" customHeight="1">
      <c r="B789" s="7"/>
      <c r="C789" s="7"/>
      <c r="D789" s="7"/>
      <c r="E789" s="7"/>
      <c r="F789" s="7"/>
      <c r="G789" s="7"/>
      <c r="H789" s="7"/>
      <c r="I789" s="109"/>
      <c r="J789" s="109"/>
      <c r="K789" s="116"/>
    </row>
    <row r="790" spans="2:11" ht="16.5" customHeight="1">
      <c r="B790" s="7"/>
      <c r="C790" s="7"/>
      <c r="D790" s="7"/>
      <c r="E790" s="7"/>
      <c r="F790" s="7"/>
      <c r="G790" s="7"/>
      <c r="H790" s="7"/>
      <c r="I790" s="109"/>
      <c r="J790" s="109" t="s">
        <v>2507</v>
      </c>
      <c r="K790" s="116"/>
    </row>
    <row r="791" spans="2:11" ht="16.5" customHeight="1">
      <c r="B791" s="7"/>
      <c r="C791" s="7"/>
      <c r="D791" s="7"/>
      <c r="E791" s="7"/>
      <c r="F791" s="7"/>
      <c r="G791" s="7"/>
      <c r="H791" s="7"/>
      <c r="I791" s="109"/>
      <c r="J791" s="109"/>
      <c r="K791" s="116"/>
    </row>
    <row r="792" spans="2:11" ht="16.5" customHeight="1">
      <c r="B792" s="7"/>
      <c r="C792" s="7"/>
      <c r="D792" s="7"/>
      <c r="E792" s="7"/>
      <c r="F792" s="7"/>
      <c r="G792" s="7"/>
      <c r="H792" s="7"/>
      <c r="I792" s="109"/>
      <c r="J792" s="109" t="s">
        <v>2508</v>
      </c>
      <c r="K792" s="116"/>
    </row>
    <row r="793" spans="2:11" ht="16.5" customHeight="1">
      <c r="B793" s="7"/>
      <c r="C793" s="7"/>
      <c r="D793" s="7"/>
      <c r="E793" s="7"/>
      <c r="F793" s="7"/>
      <c r="G793" s="7"/>
      <c r="H793" s="7"/>
      <c r="I793" s="109"/>
      <c r="J793" s="109"/>
      <c r="K793" s="116"/>
    </row>
    <row r="794" spans="2:11" ht="16.5" customHeight="1">
      <c r="B794" s="7"/>
      <c r="C794" s="7"/>
      <c r="D794" s="7"/>
      <c r="E794" s="7"/>
      <c r="F794" s="7"/>
      <c r="G794" s="7"/>
      <c r="H794" s="7"/>
      <c r="I794" s="109"/>
      <c r="J794" s="109"/>
      <c r="K794" s="116"/>
    </row>
    <row r="795" spans="2:11" ht="16.5" customHeight="1">
      <c r="B795" s="7"/>
      <c r="C795" s="7"/>
      <c r="D795" s="7"/>
      <c r="E795" s="7"/>
      <c r="F795" s="7"/>
      <c r="G795" s="7"/>
      <c r="H795" s="7"/>
      <c r="I795" s="109"/>
      <c r="J795" s="109"/>
      <c r="K795" s="116"/>
    </row>
    <row r="796" spans="2:11" ht="16.5" customHeight="1">
      <c r="B796" s="7"/>
      <c r="C796" s="7"/>
      <c r="D796" s="7"/>
      <c r="E796" s="7"/>
      <c r="F796" s="7"/>
      <c r="G796" s="7"/>
      <c r="H796" s="7"/>
      <c r="I796" s="109"/>
      <c r="J796" s="109" t="s">
        <v>2509</v>
      </c>
      <c r="K796" s="116"/>
    </row>
    <row r="797" spans="2:11" ht="16.5" customHeight="1">
      <c r="B797" s="7"/>
      <c r="C797" s="7"/>
      <c r="D797" s="7"/>
      <c r="E797" s="7"/>
      <c r="F797" s="7"/>
      <c r="G797" s="7"/>
      <c r="H797" s="7"/>
      <c r="I797" s="109"/>
      <c r="J797" s="109"/>
      <c r="K797" s="116"/>
    </row>
    <row r="798" spans="2:11" ht="16.5" customHeight="1">
      <c r="B798" s="7"/>
      <c r="C798" s="7"/>
      <c r="D798" s="7"/>
      <c r="E798" s="7"/>
      <c r="F798" s="7"/>
      <c r="G798" s="7"/>
      <c r="H798" s="7"/>
      <c r="I798" s="109"/>
      <c r="J798" s="109"/>
      <c r="K798" s="116"/>
    </row>
    <row r="799" spans="2:11" ht="18">
      <c r="B799" s="7"/>
      <c r="C799" s="7"/>
      <c r="D799" s="7"/>
      <c r="E799" s="7"/>
      <c r="F799" s="7"/>
      <c r="G799" s="7"/>
      <c r="H799" s="7"/>
      <c r="I799" s="109"/>
      <c r="J799" s="109"/>
      <c r="K799" s="116"/>
    </row>
    <row r="800" spans="2:11" ht="16.5" customHeight="1">
      <c r="B800" s="7"/>
      <c r="C800" s="7"/>
      <c r="D800" s="7"/>
      <c r="E800" s="7"/>
      <c r="F800" s="7"/>
      <c r="G800" s="7"/>
      <c r="H800" s="7"/>
      <c r="I800" s="109"/>
      <c r="J800" s="109" t="s">
        <v>2468</v>
      </c>
      <c r="K800" s="116" t="s">
        <v>2469</v>
      </c>
    </row>
    <row r="801" spans="2:11" ht="16.5" customHeight="1">
      <c r="B801" s="7"/>
      <c r="C801" s="7"/>
      <c r="D801" s="7"/>
      <c r="E801" s="7"/>
      <c r="F801" s="7"/>
      <c r="G801" s="7"/>
      <c r="H801" s="7"/>
      <c r="I801" s="109"/>
      <c r="J801" s="113"/>
      <c r="K801" s="116"/>
    </row>
    <row r="802" spans="2:11" ht="16.5">
      <c r="B802" s="7"/>
      <c r="C802" s="7"/>
      <c r="D802" s="7"/>
      <c r="E802" s="7"/>
      <c r="F802" s="7"/>
      <c r="G802" s="7"/>
      <c r="H802" s="7"/>
      <c r="I802" s="109"/>
      <c r="J802" s="5"/>
      <c r="K802" s="114"/>
    </row>
    <row r="803" spans="2:11" ht="16.5">
      <c r="B803" s="7"/>
      <c r="C803" s="7"/>
      <c r="D803" s="7"/>
      <c r="E803" s="7"/>
      <c r="F803" s="7"/>
      <c r="G803" s="7"/>
      <c r="H803" s="7"/>
      <c r="I803" s="109"/>
      <c r="J803" s="5"/>
      <c r="K803" s="114"/>
    </row>
    <row r="804" spans="2:11" ht="16.5">
      <c r="B804" s="7"/>
      <c r="C804" s="7"/>
      <c r="D804" s="7"/>
      <c r="E804" s="7"/>
      <c r="F804" s="7"/>
      <c r="G804" s="7"/>
      <c r="H804" s="7"/>
      <c r="I804" s="109"/>
      <c r="J804" s="5"/>
      <c r="K804" s="147" t="s">
        <v>1101</v>
      </c>
    </row>
    <row r="805" spans="2:11" ht="16.5">
      <c r="B805" s="7"/>
      <c r="C805" s="7"/>
      <c r="D805" s="7"/>
      <c r="E805" s="7"/>
      <c r="F805" s="7"/>
      <c r="G805" s="7"/>
      <c r="H805" s="7"/>
      <c r="I805" s="109"/>
      <c r="J805" s="5"/>
      <c r="K805" s="114"/>
    </row>
    <row r="806" spans="2:11" ht="16.5">
      <c r="B806" s="7"/>
      <c r="C806" s="7"/>
      <c r="D806" s="7"/>
      <c r="E806" s="7"/>
      <c r="F806" s="7"/>
      <c r="G806" s="7"/>
      <c r="H806" s="7"/>
      <c r="I806" s="109"/>
      <c r="J806" s="5"/>
      <c r="K806" s="114" t="s">
        <v>2486</v>
      </c>
    </row>
    <row r="807" spans="2:11" ht="16.5">
      <c r="B807" s="7"/>
      <c r="C807" s="7"/>
      <c r="D807" s="7"/>
      <c r="E807" s="7"/>
      <c r="F807" s="7"/>
      <c r="G807" s="7"/>
      <c r="H807" s="7"/>
      <c r="I807" s="109"/>
      <c r="J807" s="5"/>
      <c r="K807" s="114"/>
    </row>
    <row r="808" spans="2:11" ht="16.5">
      <c r="B808" s="7"/>
      <c r="C808" s="7"/>
      <c r="D808" s="7"/>
      <c r="E808" s="7"/>
      <c r="F808" s="7"/>
      <c r="G808" s="7"/>
      <c r="H808" s="7"/>
      <c r="I808" s="109"/>
      <c r="J808" s="5"/>
      <c r="K808" s="114"/>
    </row>
    <row r="809" spans="2:11" ht="16.5">
      <c r="B809" s="7"/>
      <c r="C809" s="7"/>
      <c r="D809" s="7"/>
      <c r="E809" s="7"/>
      <c r="F809" s="7"/>
      <c r="G809" s="7"/>
      <c r="H809" s="7"/>
      <c r="I809" s="109"/>
      <c r="J809" s="13" t="s">
        <v>2487</v>
      </c>
      <c r="K809" s="114"/>
    </row>
    <row r="810" spans="2:11" ht="16.5">
      <c r="B810" s="7"/>
      <c r="C810" s="7"/>
      <c r="D810" s="7"/>
      <c r="E810" s="7"/>
      <c r="F810" s="7"/>
      <c r="G810" s="7"/>
      <c r="H810" s="7"/>
      <c r="I810" s="109"/>
      <c r="J810" s="5"/>
      <c r="K810" s="114"/>
    </row>
    <row r="811" spans="2:11" ht="16.5">
      <c r="B811" s="7"/>
      <c r="C811" s="7"/>
      <c r="D811" s="7"/>
      <c r="E811" s="7"/>
      <c r="F811" s="7"/>
      <c r="G811" s="7"/>
      <c r="H811" s="7"/>
      <c r="I811" s="109"/>
      <c r="J811" s="5"/>
      <c r="K811" s="114"/>
    </row>
    <row r="812" spans="2:11" ht="16.5">
      <c r="B812" s="7"/>
      <c r="C812" s="7"/>
      <c r="D812" s="7"/>
      <c r="E812" s="7"/>
      <c r="F812" s="7"/>
      <c r="G812" s="7"/>
      <c r="H812" s="7"/>
      <c r="I812" s="109"/>
      <c r="J812" s="5"/>
      <c r="K812" s="114"/>
    </row>
    <row r="813" spans="2:11" ht="16.5" customHeight="1">
      <c r="B813" s="7"/>
      <c r="C813" s="7"/>
      <c r="D813" s="7"/>
      <c r="E813" s="7"/>
      <c r="F813" s="7"/>
      <c r="G813" s="7"/>
      <c r="H813" s="7"/>
      <c r="I813" s="109"/>
      <c r="J813" s="113"/>
      <c r="K813" s="116"/>
    </row>
    <row r="814" spans="2:11" ht="16.5">
      <c r="B814" s="7"/>
      <c r="C814" s="7"/>
      <c r="D814" s="7"/>
      <c r="E814" s="7"/>
      <c r="F814" s="7"/>
      <c r="G814" s="7"/>
      <c r="H814" s="7"/>
      <c r="I814" s="109"/>
      <c r="J814" s="113" t="s">
        <v>2510</v>
      </c>
      <c r="K814" s="114" t="s">
        <v>2511</v>
      </c>
    </row>
    <row r="815" spans="2:11" ht="16.5" customHeight="1">
      <c r="B815" s="7"/>
      <c r="C815" s="7"/>
      <c r="D815" s="7"/>
      <c r="E815" s="7"/>
      <c r="F815" s="7"/>
      <c r="G815" s="7"/>
      <c r="H815" s="7"/>
      <c r="I815" s="109"/>
      <c r="J815" s="113"/>
      <c r="K815" s="116"/>
    </row>
    <row r="816" spans="2:11" ht="16.5">
      <c r="B816" s="7"/>
      <c r="C816" s="7"/>
      <c r="D816" s="7"/>
      <c r="E816" s="7"/>
      <c r="F816" s="7"/>
      <c r="G816" s="7"/>
      <c r="H816" s="7"/>
      <c r="I816" s="109"/>
      <c r="J816" s="113"/>
      <c r="K816" s="132" t="s">
        <v>2512</v>
      </c>
    </row>
    <row r="817" spans="2:11" ht="16.5" customHeight="1">
      <c r="B817" s="7"/>
      <c r="C817" s="7"/>
      <c r="D817" s="7"/>
      <c r="E817" s="7"/>
      <c r="F817" s="7"/>
      <c r="G817" s="7"/>
      <c r="H817" s="7"/>
      <c r="I817" s="109"/>
      <c r="J817" s="113"/>
      <c r="K817" s="116"/>
    </row>
    <row r="818" spans="2:11" ht="16.5" customHeight="1">
      <c r="B818" s="7"/>
      <c r="C818" s="7"/>
      <c r="D818" s="7"/>
      <c r="E818" s="7"/>
      <c r="F818" s="7"/>
      <c r="G818" s="7"/>
      <c r="H818" s="7"/>
      <c r="I818" s="109"/>
      <c r="J818" s="113"/>
      <c r="K818" s="116"/>
    </row>
    <row r="819" spans="2:11" ht="16.5" customHeight="1">
      <c r="B819" s="7"/>
      <c r="C819" s="7"/>
      <c r="D819" s="7"/>
      <c r="E819" s="7"/>
      <c r="F819" s="7"/>
      <c r="G819" s="7"/>
      <c r="H819" s="7"/>
      <c r="I819" s="109"/>
      <c r="J819" s="113"/>
      <c r="K819" s="116"/>
    </row>
    <row r="820" spans="2:11" ht="16.5" customHeight="1">
      <c r="B820" s="7"/>
      <c r="C820" s="7"/>
      <c r="D820" s="7"/>
      <c r="E820" s="7"/>
      <c r="F820" s="7"/>
      <c r="G820" s="7"/>
      <c r="H820" s="7"/>
      <c r="I820" s="109"/>
      <c r="J820" s="113"/>
      <c r="K820" s="116"/>
    </row>
    <row r="821" spans="2:11" ht="16.5" customHeight="1">
      <c r="B821" s="7"/>
      <c r="C821" s="7"/>
      <c r="D821" s="7"/>
      <c r="E821" s="7"/>
      <c r="F821" s="7"/>
      <c r="G821" s="7"/>
      <c r="H821" s="7"/>
      <c r="I821" s="109"/>
      <c r="J821" s="113"/>
      <c r="K821" s="116"/>
    </row>
    <row r="822" spans="2:11" ht="16.5" customHeight="1">
      <c r="B822" s="7"/>
      <c r="C822" s="7"/>
      <c r="D822" s="7"/>
      <c r="E822" s="7"/>
      <c r="F822" s="7"/>
      <c r="G822" s="7"/>
      <c r="H822" s="7"/>
      <c r="I822" s="109"/>
      <c r="J822" s="113"/>
      <c r="K822" s="116"/>
    </row>
    <row r="823" spans="2:11" ht="16.5" customHeight="1">
      <c r="B823" s="7"/>
      <c r="C823" s="7"/>
      <c r="D823" s="7"/>
      <c r="E823" s="7"/>
      <c r="F823" s="7"/>
      <c r="G823" s="7"/>
      <c r="H823" s="7"/>
      <c r="I823" s="109"/>
      <c r="J823" s="113"/>
      <c r="K823" s="116"/>
    </row>
    <row r="824" spans="2:11" ht="16.5" customHeight="1">
      <c r="B824" s="7"/>
      <c r="C824" s="7"/>
      <c r="D824" s="7"/>
      <c r="E824" s="7"/>
      <c r="F824" s="7"/>
      <c r="G824" s="7"/>
      <c r="H824" s="7"/>
      <c r="I824" s="109"/>
      <c r="J824" s="113"/>
      <c r="K824" s="116"/>
    </row>
    <row r="825" spans="2:11" ht="16.5" customHeight="1">
      <c r="B825" s="7"/>
      <c r="C825" s="7"/>
      <c r="D825" s="7"/>
      <c r="E825" s="7"/>
      <c r="F825" s="7"/>
      <c r="G825" s="7"/>
      <c r="H825" s="7"/>
      <c r="I825" s="109"/>
      <c r="J825" s="109"/>
      <c r="K825" s="116"/>
    </row>
    <row r="826" spans="2:11" ht="16.5" customHeight="1">
      <c r="B826" s="7"/>
      <c r="C826" s="7"/>
      <c r="D826" s="7"/>
      <c r="E826" s="7"/>
      <c r="F826" s="7"/>
      <c r="G826" s="7"/>
      <c r="H826" s="7"/>
      <c r="I826" s="109"/>
      <c r="J826" s="109"/>
      <c r="K826" s="116"/>
    </row>
    <row r="827" spans="2:11" ht="16.5" customHeight="1">
      <c r="B827" s="7"/>
      <c r="C827" s="7"/>
      <c r="D827" s="7"/>
      <c r="E827" s="7"/>
      <c r="F827" s="7"/>
      <c r="G827" s="7"/>
      <c r="H827" s="7"/>
      <c r="I827" s="109"/>
      <c r="J827" s="109" t="s">
        <v>2513</v>
      </c>
      <c r="K827" s="116"/>
    </row>
    <row r="828" spans="2:11" ht="16.5" customHeight="1">
      <c r="B828" s="7"/>
      <c r="C828" s="7"/>
      <c r="D828" s="7"/>
      <c r="E828" s="7"/>
      <c r="F828" s="7"/>
      <c r="G828" s="7"/>
      <c r="H828" s="7"/>
      <c r="I828" s="109"/>
      <c r="J828" s="109" t="s">
        <v>2514</v>
      </c>
      <c r="K828" s="116"/>
    </row>
    <row r="829" spans="2:11" ht="16.5" customHeight="1">
      <c r="B829" s="7"/>
      <c r="C829" s="7"/>
      <c r="D829" s="7"/>
      <c r="E829" s="7"/>
      <c r="F829" s="7"/>
      <c r="G829" s="7"/>
      <c r="H829" s="7"/>
      <c r="I829" s="109"/>
      <c r="J829" s="109"/>
      <c r="K829" s="116"/>
    </row>
    <row r="830" spans="2:11" ht="16.5" customHeight="1">
      <c r="B830" s="7"/>
      <c r="C830" s="7"/>
      <c r="D830" s="7"/>
      <c r="E830" s="7"/>
      <c r="F830" s="7"/>
      <c r="G830" s="7"/>
      <c r="H830" s="7"/>
      <c r="I830" s="109"/>
      <c r="J830" s="109"/>
      <c r="K830" s="116"/>
    </row>
    <row r="831" spans="2:11" ht="16.5" customHeight="1">
      <c r="B831" s="7"/>
      <c r="C831" s="7"/>
      <c r="D831" s="7"/>
      <c r="E831" s="7"/>
      <c r="F831" s="7"/>
      <c r="G831" s="7"/>
      <c r="H831" s="7"/>
      <c r="I831" s="109"/>
      <c r="J831" s="109"/>
      <c r="K831" s="116"/>
    </row>
    <row r="832" spans="2:11" ht="16.5" customHeight="1">
      <c r="B832" s="7"/>
      <c r="C832" s="7"/>
      <c r="D832" s="7"/>
      <c r="E832" s="7"/>
      <c r="F832" s="7"/>
      <c r="G832" s="7"/>
      <c r="H832" s="7"/>
      <c r="I832" s="109"/>
      <c r="J832" s="109"/>
      <c r="K832" s="116"/>
    </row>
    <row r="833" spans="2:11" ht="16.5" customHeight="1">
      <c r="B833" s="7"/>
      <c r="C833" s="7"/>
      <c r="D833" s="7"/>
      <c r="E833" s="7"/>
      <c r="F833" s="7"/>
      <c r="G833" s="7"/>
      <c r="H833" s="7"/>
      <c r="I833" s="109"/>
      <c r="J833" s="109"/>
      <c r="K833" s="116"/>
    </row>
    <row r="834" spans="2:11" ht="16.5" customHeight="1">
      <c r="B834" s="7"/>
      <c r="C834" s="7"/>
      <c r="D834" s="7"/>
      <c r="E834" s="7"/>
      <c r="F834" s="7"/>
      <c r="G834" s="7"/>
      <c r="H834" s="7"/>
      <c r="I834" s="109"/>
      <c r="J834" s="109"/>
      <c r="K834" s="116"/>
    </row>
    <row r="835" spans="2:11" ht="16.5" customHeight="1">
      <c r="B835" s="7"/>
      <c r="C835" s="7"/>
      <c r="D835" s="7"/>
      <c r="E835" s="7"/>
      <c r="F835" s="7"/>
      <c r="G835" s="7"/>
      <c r="H835" s="7"/>
      <c r="I835" s="109"/>
      <c r="J835" s="109"/>
      <c r="K835" s="116"/>
    </row>
    <row r="836" spans="2:11" ht="16.5" customHeight="1">
      <c r="B836" s="7"/>
      <c r="C836" s="7"/>
      <c r="D836" s="7"/>
      <c r="E836" s="7"/>
      <c r="F836" s="7"/>
      <c r="G836" s="7"/>
      <c r="H836" s="7"/>
      <c r="I836" s="109"/>
      <c r="J836" s="109"/>
      <c r="K836" s="116"/>
    </row>
    <row r="837" spans="2:11" ht="16.5" customHeight="1">
      <c r="B837" s="7"/>
      <c r="C837" s="7"/>
      <c r="D837" s="7"/>
      <c r="E837" s="7"/>
      <c r="F837" s="7"/>
      <c r="G837" s="7"/>
      <c r="H837" s="7"/>
      <c r="I837" s="109"/>
      <c r="J837" s="109"/>
      <c r="K837" s="116"/>
    </row>
    <row r="838" spans="2:11" ht="16.5" customHeight="1">
      <c r="B838" s="7"/>
      <c r="C838" s="7"/>
      <c r="D838" s="7"/>
      <c r="E838" s="7"/>
      <c r="F838" s="7"/>
      <c r="G838" s="7"/>
      <c r="H838" s="7"/>
      <c r="I838" s="109"/>
      <c r="J838" s="109"/>
      <c r="K838" s="116"/>
    </row>
    <row r="839" spans="2:11" ht="16.5" customHeight="1">
      <c r="B839" s="7"/>
      <c r="C839" s="7"/>
      <c r="D839" s="7"/>
      <c r="E839" s="7"/>
      <c r="F839" s="7"/>
      <c r="G839" s="7"/>
      <c r="H839" s="7"/>
      <c r="I839" s="109"/>
      <c r="J839" s="109" t="s">
        <v>2515</v>
      </c>
      <c r="K839" s="116"/>
    </row>
    <row r="840" spans="2:11" ht="16.5" customHeight="1">
      <c r="B840" s="7"/>
      <c r="C840" s="7"/>
      <c r="D840" s="7"/>
      <c r="E840" s="7"/>
      <c r="F840" s="7"/>
      <c r="G840" s="7"/>
      <c r="H840" s="7"/>
      <c r="I840" s="109"/>
      <c r="J840" s="109"/>
      <c r="K840" s="116"/>
    </row>
    <row r="841" spans="2:11" ht="16.5" customHeight="1">
      <c r="B841" s="7"/>
      <c r="C841" s="7"/>
      <c r="D841" s="7"/>
      <c r="E841" s="7"/>
      <c r="F841" s="7"/>
      <c r="G841" s="7"/>
      <c r="H841" s="7"/>
      <c r="I841" s="109"/>
      <c r="J841" s="109" t="s">
        <v>2467</v>
      </c>
      <c r="K841" s="116"/>
    </row>
    <row r="842" spans="2:11" ht="16.5" customHeight="1">
      <c r="B842" s="7"/>
      <c r="C842" s="7"/>
      <c r="D842" s="7"/>
      <c r="E842" s="7"/>
      <c r="F842" s="7"/>
      <c r="G842" s="7"/>
      <c r="H842" s="7"/>
      <c r="I842" s="109"/>
      <c r="J842" s="109"/>
      <c r="K842" s="116"/>
    </row>
    <row r="843" spans="2:11" ht="16.5" customHeight="1">
      <c r="B843" s="7"/>
      <c r="C843" s="7"/>
      <c r="D843" s="7"/>
      <c r="E843" s="7"/>
      <c r="F843" s="7"/>
      <c r="G843" s="7"/>
      <c r="H843" s="7"/>
      <c r="I843" s="109"/>
      <c r="J843" s="109"/>
      <c r="K843" s="116"/>
    </row>
    <row r="844" spans="2:11" ht="16.5" customHeight="1">
      <c r="B844" s="7"/>
      <c r="C844" s="7"/>
      <c r="D844" s="7"/>
      <c r="E844" s="7"/>
      <c r="F844" s="7"/>
      <c r="G844" s="7"/>
      <c r="H844" s="7"/>
      <c r="I844" s="109"/>
      <c r="J844" s="109"/>
      <c r="K844" s="116"/>
    </row>
    <row r="845" spans="2:11" ht="16.5" customHeight="1">
      <c r="B845" s="7"/>
      <c r="C845" s="7"/>
      <c r="D845" s="7"/>
      <c r="E845" s="7"/>
      <c r="F845" s="7"/>
      <c r="G845" s="7"/>
      <c r="H845" s="7"/>
      <c r="I845" s="109"/>
      <c r="J845" s="109"/>
      <c r="K845" s="116"/>
    </row>
    <row r="846" spans="2:11" ht="16.5" customHeight="1">
      <c r="B846" s="7"/>
      <c r="C846" s="7"/>
      <c r="D846" s="7"/>
      <c r="E846" s="7"/>
      <c r="F846" s="7"/>
      <c r="G846" s="7"/>
      <c r="H846" s="7"/>
      <c r="I846" s="109"/>
      <c r="J846" s="109"/>
      <c r="K846" s="116" t="s">
        <v>2516</v>
      </c>
    </row>
    <row r="847" spans="2:11" ht="16.5" customHeight="1">
      <c r="B847" s="7"/>
      <c r="C847" s="7"/>
      <c r="D847" s="7"/>
      <c r="E847" s="7"/>
      <c r="F847" s="7"/>
      <c r="G847" s="7"/>
      <c r="H847" s="7"/>
      <c r="I847" s="109"/>
      <c r="J847" s="109"/>
      <c r="K847" s="116"/>
    </row>
    <row r="848" spans="2:11" ht="18">
      <c r="B848" s="7"/>
      <c r="C848" s="7"/>
      <c r="D848" s="7"/>
      <c r="E848" s="7"/>
      <c r="F848" s="7"/>
      <c r="G848" s="7"/>
      <c r="H848" s="7"/>
      <c r="I848" s="109"/>
      <c r="J848" s="109"/>
      <c r="K848" s="116"/>
    </row>
    <row r="849" spans="2:14" ht="18">
      <c r="B849" s="7"/>
      <c r="C849" s="7"/>
      <c r="D849" s="7"/>
      <c r="E849" s="7"/>
      <c r="F849" s="7"/>
      <c r="G849" s="7"/>
      <c r="H849" s="7"/>
      <c r="I849" s="109"/>
      <c r="J849" s="131" t="s">
        <v>2517</v>
      </c>
      <c r="K849" s="116" t="s">
        <v>2518</v>
      </c>
    </row>
    <row r="850" spans="2:14" ht="16.5" customHeight="1">
      <c r="B850" s="7"/>
      <c r="C850" s="7"/>
      <c r="D850" s="7"/>
      <c r="E850" s="7"/>
      <c r="F850" s="7"/>
      <c r="G850" s="7"/>
      <c r="H850" s="7"/>
      <c r="I850" s="109"/>
      <c r="J850" s="109"/>
      <c r="K850" s="116"/>
    </row>
    <row r="851" spans="2:14" ht="16.5" customHeight="1">
      <c r="B851" s="7"/>
      <c r="C851" s="7"/>
      <c r="D851" s="7"/>
      <c r="E851" s="7"/>
      <c r="F851" s="7"/>
      <c r="G851" s="7"/>
      <c r="H851" s="7"/>
      <c r="I851" s="109"/>
      <c r="J851" s="109"/>
      <c r="K851" s="116"/>
    </row>
    <row r="852" spans="2:14" ht="16.5" customHeight="1">
      <c r="B852" s="7"/>
      <c r="C852" s="7"/>
      <c r="D852" s="7"/>
      <c r="E852" s="7"/>
      <c r="F852" s="7"/>
      <c r="G852" s="7"/>
      <c r="H852" s="7"/>
      <c r="I852" s="109"/>
      <c r="J852" s="109"/>
      <c r="K852" s="116"/>
    </row>
    <row r="853" spans="2:14" ht="15" customHeight="1">
      <c r="B853" s="39"/>
      <c r="C853" s="39"/>
      <c r="D853" s="39"/>
      <c r="E853" s="39"/>
      <c r="F853" s="39"/>
      <c r="G853" s="39"/>
      <c r="H853" s="39"/>
      <c r="I853" s="213"/>
      <c r="J853" s="213"/>
      <c r="K853" s="214"/>
    </row>
    <row r="854" spans="2:14" ht="15" customHeight="1">
      <c r="B854" s="39"/>
      <c r="C854" s="39"/>
      <c r="D854" s="39"/>
      <c r="E854" s="39"/>
      <c r="F854" s="39"/>
      <c r="G854" s="39"/>
      <c r="H854" s="39"/>
      <c r="I854" s="213"/>
      <c r="J854" s="213"/>
      <c r="K854" s="214"/>
    </row>
    <row r="855" spans="2:14" ht="15" customHeight="1">
      <c r="B855" s="39"/>
      <c r="C855" s="39"/>
      <c r="D855" s="39"/>
      <c r="E855" s="39"/>
      <c r="F855" s="39"/>
      <c r="G855" s="39"/>
      <c r="H855" s="39"/>
      <c r="I855" s="213"/>
      <c r="J855" s="213"/>
      <c r="K855" s="214"/>
    </row>
    <row r="856" spans="2:14" ht="15" customHeight="1">
      <c r="B856" s="39"/>
      <c r="C856" s="39"/>
      <c r="D856" s="39"/>
      <c r="E856" s="39"/>
      <c r="F856" s="39"/>
      <c r="G856" s="39"/>
      <c r="H856" s="39"/>
      <c r="I856" s="213"/>
      <c r="J856" s="213"/>
      <c r="K856" s="214"/>
    </row>
    <row r="857" spans="2:14" ht="15" customHeight="1">
      <c r="B857" s="39"/>
      <c r="C857" s="39"/>
      <c r="D857" s="39"/>
      <c r="E857" s="39"/>
      <c r="F857" s="39"/>
      <c r="G857" s="39"/>
      <c r="H857" s="39"/>
      <c r="I857" s="213"/>
      <c r="J857" s="213"/>
      <c r="K857" s="214"/>
    </row>
    <row r="858" spans="2:14" ht="15" customHeight="1">
      <c r="B858" s="39"/>
      <c r="C858" s="39"/>
      <c r="D858" s="39"/>
      <c r="E858" s="39"/>
      <c r="F858" s="39"/>
      <c r="G858" s="39"/>
      <c r="H858" s="39"/>
      <c r="I858" s="213"/>
      <c r="J858" s="213"/>
      <c r="K858" s="214"/>
    </row>
    <row r="859" spans="2:14" ht="18.75" customHeight="1">
      <c r="B859" s="7"/>
      <c r="C859" s="7"/>
      <c r="D859" s="7"/>
      <c r="E859" s="7"/>
      <c r="F859" s="39"/>
      <c r="G859" s="39"/>
      <c r="H859" s="39"/>
      <c r="I859" s="213"/>
      <c r="J859" s="213"/>
      <c r="K859" s="214"/>
    </row>
    <row r="860" spans="2:14" ht="16.5">
      <c r="B860" s="7"/>
      <c r="C860" s="7"/>
      <c r="D860" s="7"/>
      <c r="E860" s="7"/>
      <c r="F860" s="39"/>
      <c r="G860" s="39"/>
      <c r="H860" s="39"/>
      <c r="I860" s="213"/>
      <c r="J860" s="215"/>
      <c r="K860" s="215"/>
    </row>
    <row r="861" spans="2:14" ht="16.5">
      <c r="B861" s="7"/>
      <c r="C861" s="7"/>
      <c r="D861" s="7"/>
      <c r="E861" s="7"/>
      <c r="F861" s="39"/>
      <c r="G861" s="216"/>
      <c r="H861" s="217"/>
      <c r="I861" s="218"/>
      <c r="J861" s="219"/>
      <c r="K861" s="219"/>
      <c r="L861" s="25"/>
      <c r="M861" s="25"/>
    </row>
    <row r="862" spans="2:14" ht="16.5">
      <c r="B862" s="7"/>
      <c r="C862" s="7"/>
      <c r="D862" s="7"/>
      <c r="E862" s="39"/>
      <c r="F862" s="39"/>
      <c r="G862" s="220"/>
      <c r="H862" s="39"/>
      <c r="I862" s="221"/>
      <c r="J862" s="219"/>
      <c r="K862" s="219"/>
      <c r="L862" s="25"/>
      <c r="M862" s="25"/>
    </row>
    <row r="863" spans="2:14" ht="16.5">
      <c r="B863" s="7"/>
      <c r="C863" s="7"/>
      <c r="D863" s="7"/>
      <c r="E863" s="39"/>
      <c r="F863" s="39"/>
      <c r="G863" s="220"/>
      <c r="H863" s="39"/>
      <c r="I863" s="221"/>
      <c r="J863" s="219"/>
      <c r="K863" s="219"/>
      <c r="L863" s="25"/>
      <c r="M863" s="25"/>
      <c r="N863" s="86"/>
    </row>
    <row r="864" spans="2:14" ht="16.5">
      <c r="B864" s="7"/>
      <c r="C864" s="7"/>
      <c r="D864" s="7"/>
      <c r="E864" s="39"/>
      <c r="F864" s="39"/>
      <c r="G864" s="220"/>
      <c r="H864" s="39"/>
      <c r="I864" s="221"/>
      <c r="J864" s="219"/>
      <c r="K864" s="219"/>
      <c r="L864" s="25"/>
      <c r="M864" s="25"/>
    </row>
    <row r="865" spans="2:14" ht="16.5">
      <c r="B865" s="7"/>
      <c r="C865" s="7"/>
      <c r="D865" s="7"/>
      <c r="E865" s="39"/>
      <c r="F865" s="39"/>
      <c r="G865" s="220"/>
      <c r="H865" s="39"/>
      <c r="I865" s="221"/>
      <c r="J865" s="219"/>
      <c r="K865" s="219"/>
      <c r="L865" s="25"/>
      <c r="M865" s="25"/>
    </row>
    <row r="866" spans="2:14" ht="16.5">
      <c r="B866" s="7"/>
      <c r="C866" s="7"/>
      <c r="D866" s="7"/>
      <c r="E866" s="39"/>
      <c r="F866" s="39"/>
      <c r="G866" s="220"/>
      <c r="H866" s="39"/>
      <c r="I866" s="218"/>
      <c r="J866" s="219"/>
      <c r="K866" s="219"/>
      <c r="L866" s="25"/>
      <c r="M866" s="25"/>
      <c r="N866" s="86"/>
    </row>
    <row r="867" spans="2:14" ht="16.5">
      <c r="B867" s="7"/>
      <c r="C867" s="7"/>
      <c r="D867" s="120"/>
      <c r="E867" s="39"/>
      <c r="F867" s="39"/>
      <c r="G867" s="220"/>
      <c r="H867" s="39"/>
      <c r="I867" s="218"/>
      <c r="J867" s="67"/>
      <c r="K867" s="75"/>
      <c r="L867" s="25"/>
      <c r="M867" s="25"/>
      <c r="N867" s="86"/>
    </row>
    <row r="868" spans="2:14" ht="16.5">
      <c r="B868" s="7"/>
      <c r="C868" s="7"/>
      <c r="D868" s="120"/>
      <c r="E868" s="39"/>
      <c r="F868" s="39"/>
      <c r="G868" s="220"/>
      <c r="H868" s="39"/>
      <c r="I868" s="218"/>
      <c r="J868" s="67"/>
      <c r="K868" s="75"/>
      <c r="L868" s="25"/>
      <c r="M868" s="25"/>
    </row>
    <row r="869" spans="2:14" ht="16.5">
      <c r="B869" s="7"/>
      <c r="C869" s="7"/>
      <c r="D869" s="120"/>
      <c r="E869" s="39"/>
      <c r="F869" s="39"/>
      <c r="G869" s="220"/>
      <c r="H869" s="39"/>
      <c r="I869" s="218"/>
      <c r="J869" s="67"/>
      <c r="K869" s="75"/>
      <c r="L869" s="25"/>
      <c r="M869" s="25"/>
    </row>
    <row r="870" spans="2:14" ht="16.5">
      <c r="B870" s="7"/>
      <c r="C870" s="7"/>
      <c r="D870" s="120"/>
      <c r="E870" s="39"/>
      <c r="F870" s="39"/>
      <c r="G870" s="220"/>
      <c r="H870" s="39"/>
      <c r="I870" s="218"/>
      <c r="J870" s="67"/>
      <c r="K870" s="75"/>
      <c r="L870" s="25"/>
      <c r="M870" s="25"/>
    </row>
    <row r="871" spans="2:14" ht="16.5">
      <c r="B871" s="7"/>
      <c r="C871" s="7"/>
      <c r="D871" s="120"/>
      <c r="E871" s="39"/>
      <c r="F871" s="39"/>
      <c r="G871" s="39"/>
      <c r="H871" s="39"/>
      <c r="I871" s="218"/>
      <c r="J871" s="67"/>
      <c r="K871" s="75"/>
      <c r="L871" s="25"/>
      <c r="M871" s="25"/>
      <c r="N871" s="86"/>
    </row>
    <row r="872" spans="2:14" ht="16.5">
      <c r="B872" s="7"/>
      <c r="C872" s="7"/>
      <c r="D872" s="120"/>
      <c r="E872" s="39"/>
      <c r="F872" s="39"/>
      <c r="G872" s="39"/>
      <c r="H872" s="39"/>
      <c r="I872" s="218"/>
      <c r="J872" s="67"/>
      <c r="K872" s="75"/>
      <c r="L872" s="25"/>
      <c r="M872" s="25"/>
    </row>
    <row r="873" spans="2:14" ht="16.5">
      <c r="B873" s="7"/>
      <c r="C873" s="7"/>
      <c r="D873" s="120"/>
      <c r="E873" s="39"/>
      <c r="F873" s="39"/>
      <c r="G873" s="39"/>
      <c r="H873" s="39"/>
      <c r="I873" s="222"/>
      <c r="J873" s="223"/>
      <c r="K873" s="219"/>
      <c r="L873" s="25"/>
      <c r="M873" s="25"/>
    </row>
    <row r="874" spans="2:14" ht="16.5">
      <c r="B874" s="7"/>
      <c r="C874" s="7"/>
      <c r="D874" s="120"/>
      <c r="E874" s="39"/>
      <c r="F874" s="39"/>
      <c r="G874" s="220"/>
      <c r="H874" s="39"/>
      <c r="I874" s="218"/>
      <c r="J874" s="223"/>
      <c r="K874" s="219"/>
      <c r="L874" s="25"/>
      <c r="M874" s="25"/>
    </row>
    <row r="875" spans="2:14" ht="16.5">
      <c r="B875" s="7"/>
      <c r="C875" s="7"/>
      <c r="D875" s="120"/>
      <c r="E875" s="39"/>
      <c r="F875" s="39"/>
      <c r="G875" s="220"/>
      <c r="H875" s="39"/>
      <c r="I875" s="218"/>
      <c r="J875" s="223"/>
      <c r="K875" s="219"/>
      <c r="L875" s="25"/>
      <c r="M875" s="25"/>
    </row>
    <row r="876" spans="2:14" ht="16.5">
      <c r="B876" s="7"/>
      <c r="C876" s="7"/>
      <c r="D876" s="120"/>
      <c r="E876" s="39"/>
      <c r="F876" s="39"/>
      <c r="G876" s="220"/>
      <c r="H876" s="39"/>
      <c r="I876" s="218"/>
      <c r="J876" s="219" t="s">
        <v>2519</v>
      </c>
      <c r="K876" s="219" t="s">
        <v>2520</v>
      </c>
      <c r="L876" s="25"/>
      <c r="M876" s="25"/>
    </row>
    <row r="877" spans="2:14" ht="16.5">
      <c r="B877" s="7"/>
      <c r="C877" s="7"/>
      <c r="D877" s="120"/>
      <c r="E877" s="39"/>
      <c r="F877" s="39"/>
      <c r="G877" s="220"/>
      <c r="H877" s="39"/>
      <c r="I877" s="218"/>
      <c r="J877" s="223"/>
      <c r="K877" s="219" t="s">
        <v>2521</v>
      </c>
      <c r="L877" s="25"/>
      <c r="M877" s="25"/>
    </row>
    <row r="878" spans="2:14" ht="18">
      <c r="B878" s="7"/>
      <c r="C878" s="7"/>
      <c r="D878" s="120"/>
      <c r="E878" s="39"/>
      <c r="F878" s="39"/>
      <c r="G878" s="220"/>
      <c r="H878" s="39"/>
      <c r="I878" s="218"/>
      <c r="J878" s="222" t="s">
        <v>2522</v>
      </c>
      <c r="K878" s="224" t="s">
        <v>2523</v>
      </c>
      <c r="L878" s="25"/>
      <c r="M878" s="25"/>
    </row>
    <row r="879" spans="2:14" ht="16.5">
      <c r="B879" s="7"/>
      <c r="C879" s="7"/>
      <c r="D879" s="120"/>
      <c r="E879" s="39"/>
      <c r="F879" s="39"/>
      <c r="G879" s="220"/>
      <c r="H879" s="39"/>
      <c r="I879" s="218"/>
      <c r="J879" s="223" t="s">
        <v>2524</v>
      </c>
      <c r="K879" s="76" t="s">
        <v>2525</v>
      </c>
      <c r="M879" s="25"/>
      <c r="N879" s="86"/>
    </row>
    <row r="880" spans="2:14" ht="16.5">
      <c r="B880" s="7"/>
      <c r="C880" s="7"/>
      <c r="D880" s="120"/>
      <c r="E880" s="39"/>
      <c r="F880" s="39"/>
      <c r="G880" s="220"/>
      <c r="H880" s="39"/>
      <c r="I880" s="218"/>
      <c r="J880" s="223"/>
      <c r="K880" s="219"/>
      <c r="L880" s="25"/>
      <c r="M880" s="25"/>
    </row>
    <row r="881" spans="2:13" ht="16.5">
      <c r="B881" s="7"/>
      <c r="C881" s="7"/>
      <c r="D881" s="120"/>
      <c r="E881" s="39"/>
      <c r="F881" s="39"/>
      <c r="G881" s="39"/>
      <c r="H881" s="39"/>
      <c r="I881" s="218"/>
      <c r="J881" s="223"/>
      <c r="K881" s="219"/>
      <c r="L881" s="25"/>
      <c r="M881" s="25"/>
    </row>
    <row r="882" spans="2:13" ht="16.5">
      <c r="B882" s="7"/>
      <c r="C882" s="7"/>
      <c r="D882" s="120"/>
      <c r="E882" s="39"/>
      <c r="F882" s="39"/>
      <c r="G882" s="39"/>
      <c r="H882" s="39"/>
      <c r="I882" s="218"/>
      <c r="J882" s="223"/>
      <c r="K882" s="219"/>
      <c r="L882" s="25"/>
      <c r="M882" s="25"/>
    </row>
    <row r="883" spans="2:13" ht="16.5">
      <c r="B883" s="7"/>
      <c r="C883" s="7"/>
      <c r="D883" s="120"/>
      <c r="E883" s="39"/>
      <c r="F883" s="39"/>
      <c r="G883" s="220"/>
      <c r="H883" s="39"/>
      <c r="I883" s="218"/>
      <c r="J883" s="223"/>
      <c r="K883" s="219"/>
      <c r="L883" s="25"/>
      <c r="M883" s="25"/>
    </row>
    <row r="884" spans="2:13" ht="16.5">
      <c r="B884" s="7"/>
      <c r="C884" s="7"/>
      <c r="D884" s="120"/>
      <c r="E884" s="39"/>
      <c r="F884" s="39"/>
      <c r="G884" s="220"/>
      <c r="H884" s="39"/>
      <c r="I884" s="218"/>
      <c r="J884" s="223"/>
      <c r="K884" s="219"/>
      <c r="L884" s="25"/>
      <c r="M884" s="25"/>
    </row>
    <row r="885" spans="2:13" ht="16.5">
      <c r="B885" s="7"/>
      <c r="C885" s="7"/>
      <c r="D885" s="120"/>
      <c r="E885" s="39"/>
      <c r="F885" s="39"/>
      <c r="G885" s="39"/>
      <c r="H885" s="39"/>
      <c r="I885" s="218"/>
      <c r="J885" s="223"/>
      <c r="K885" s="219"/>
      <c r="L885" s="25"/>
      <c r="M885" s="25"/>
    </row>
    <row r="886" spans="2:13" ht="16.5">
      <c r="B886" s="7"/>
      <c r="C886" s="7"/>
      <c r="D886" s="120"/>
      <c r="E886" s="39"/>
      <c r="F886" s="39"/>
      <c r="G886" s="220"/>
      <c r="H886" s="39"/>
      <c r="I886" s="218"/>
      <c r="J886" s="223"/>
      <c r="K886" s="219"/>
      <c r="L886" s="25"/>
      <c r="M886" s="25"/>
    </row>
    <row r="887" spans="2:13" ht="16.5">
      <c r="B887" s="7"/>
      <c r="C887" s="7"/>
      <c r="D887" s="120"/>
      <c r="E887" s="39"/>
      <c r="F887" s="39"/>
      <c r="G887" s="220"/>
      <c r="H887" s="39"/>
      <c r="I887" s="222"/>
      <c r="J887" s="223"/>
      <c r="K887" s="219"/>
      <c r="L887" s="25"/>
      <c r="M887" s="25"/>
    </row>
    <row r="888" spans="2:13" ht="16.5" customHeight="1">
      <c r="B888" s="7"/>
      <c r="C888" s="7"/>
      <c r="D888" s="7"/>
      <c r="E888" s="7"/>
      <c r="F888" s="7"/>
      <c r="G888" s="7"/>
      <c r="H888" s="7"/>
      <c r="I888" s="109" t="s">
        <v>3</v>
      </c>
      <c r="J888" s="131" t="s">
        <v>1276</v>
      </c>
      <c r="K888" s="116"/>
    </row>
    <row r="889" spans="2:13" ht="16.5" customHeight="1">
      <c r="B889" s="7"/>
      <c r="C889" s="7"/>
      <c r="D889" s="7"/>
      <c r="E889" s="7"/>
      <c r="F889" s="7"/>
      <c r="G889" s="7"/>
      <c r="H889" s="7"/>
      <c r="I889" s="183" t="s">
        <v>3</v>
      </c>
      <c r="J889" s="113"/>
      <c r="K889" s="114"/>
    </row>
    <row r="890" spans="2:13" ht="16.5">
      <c r="B890" s="7"/>
      <c r="C890" s="7"/>
      <c r="D890" s="120"/>
      <c r="E890" s="39"/>
      <c r="F890" s="39"/>
      <c r="G890" s="39"/>
      <c r="H890" s="39"/>
      <c r="I890" s="225"/>
      <c r="J890" s="226"/>
      <c r="K890" s="215"/>
    </row>
    <row r="891" spans="2:13" ht="16.5">
      <c r="B891" s="7"/>
      <c r="C891" s="7"/>
      <c r="D891" s="120"/>
      <c r="E891" s="39"/>
      <c r="F891" s="39"/>
      <c r="G891" s="39"/>
      <c r="H891" s="39"/>
      <c r="I891" s="213"/>
      <c r="J891" s="69"/>
      <c r="K891" s="69"/>
    </row>
    <row r="892" spans="2:13" ht="16.5">
      <c r="B892" s="7"/>
      <c r="C892" s="7"/>
      <c r="D892" s="120"/>
      <c r="E892" s="39"/>
      <c r="F892" s="39"/>
      <c r="G892" s="39"/>
      <c r="H892" s="39"/>
      <c r="I892" s="213"/>
      <c r="J892" s="69"/>
      <c r="K892" s="69"/>
    </row>
    <row r="893" spans="2:13" ht="16.5">
      <c r="B893" s="7"/>
      <c r="C893" s="7"/>
      <c r="D893" s="120"/>
      <c r="E893" s="39"/>
      <c r="F893" s="39"/>
      <c r="G893" s="39"/>
      <c r="H893" s="39"/>
      <c r="I893" s="213"/>
      <c r="J893" s="69"/>
      <c r="K893" s="69"/>
    </row>
    <row r="894" spans="2:13" ht="16.5">
      <c r="B894" s="7"/>
      <c r="C894" s="7"/>
      <c r="D894" s="7"/>
      <c r="E894" s="39"/>
      <c r="F894" s="39"/>
      <c r="G894" s="39"/>
      <c r="H894" s="39"/>
      <c r="I894" s="213"/>
      <c r="J894" s="215"/>
      <c r="K894" s="215"/>
    </row>
    <row r="895" spans="2:13" ht="16.5">
      <c r="B895" s="7"/>
      <c r="C895" s="7"/>
      <c r="D895" s="7"/>
      <c r="E895" s="39"/>
      <c r="F895" s="39"/>
      <c r="G895" s="39"/>
      <c r="H895" s="39"/>
      <c r="I895" s="213"/>
      <c r="J895" s="213"/>
      <c r="K895" s="213"/>
    </row>
    <row r="896" spans="2:13" ht="16.5">
      <c r="B896" s="7"/>
      <c r="C896" s="7"/>
      <c r="D896" s="7"/>
      <c r="E896" s="39"/>
      <c r="F896" s="39"/>
      <c r="G896" s="39"/>
      <c r="H896" s="39"/>
      <c r="I896" s="213"/>
      <c r="J896" s="215"/>
      <c r="K896" s="215"/>
    </row>
    <row r="897" spans="2:17" ht="15" customHeight="1">
      <c r="B897" s="39"/>
      <c r="C897" s="39"/>
      <c r="D897" s="197"/>
      <c r="E897" s="39"/>
      <c r="F897" s="39"/>
      <c r="G897" s="39"/>
      <c r="H897" s="39"/>
      <c r="I897" s="213"/>
      <c r="J897" s="69"/>
      <c r="K897" s="69"/>
    </row>
    <row r="898" spans="2:17" ht="15" customHeight="1">
      <c r="B898" s="39"/>
      <c r="C898" s="39"/>
      <c r="D898" s="197"/>
      <c r="E898" s="39"/>
      <c r="F898" s="39"/>
      <c r="G898" s="39"/>
      <c r="H898" s="39"/>
      <c r="I898" s="227"/>
      <c r="J898" s="228"/>
      <c r="K898" s="228"/>
    </row>
    <row r="899" spans="2:17" ht="15" customHeight="1">
      <c r="B899" s="39"/>
      <c r="C899" s="39"/>
      <c r="D899" s="39"/>
      <c r="E899" s="39"/>
      <c r="F899" s="39"/>
      <c r="G899" s="39"/>
      <c r="H899" s="39"/>
      <c r="I899" s="227"/>
      <c r="J899" s="229"/>
      <c r="K899" s="229"/>
    </row>
    <row r="900" spans="2:17" ht="15" customHeight="1">
      <c r="B900" s="39"/>
      <c r="C900" s="39"/>
      <c r="D900" s="39"/>
      <c r="E900" s="39"/>
      <c r="F900" s="39"/>
      <c r="G900" s="39"/>
      <c r="H900" s="39"/>
      <c r="I900" s="230"/>
      <c r="J900" s="231"/>
      <c r="K900" s="229"/>
    </row>
    <row r="901" spans="2:17" ht="15" customHeight="1">
      <c r="B901" s="39"/>
      <c r="C901" s="39"/>
      <c r="D901" s="39"/>
      <c r="E901" s="39"/>
      <c r="F901" s="39"/>
      <c r="G901" s="39"/>
      <c r="H901" s="39"/>
      <c r="I901" s="230"/>
      <c r="J901" s="231"/>
      <c r="K901" s="229"/>
    </row>
    <row r="902" spans="2:17" ht="15" customHeight="1">
      <c r="B902" s="39"/>
      <c r="C902" s="39"/>
      <c r="D902" s="39"/>
      <c r="E902" s="39"/>
      <c r="F902" s="39"/>
      <c r="G902" s="39"/>
      <c r="H902" s="39"/>
      <c r="I902" s="230"/>
      <c r="J902" s="231"/>
      <c r="K902" s="229"/>
    </row>
    <row r="903" spans="2:17" ht="15" customHeight="1">
      <c r="B903" s="39"/>
      <c r="C903" s="39"/>
      <c r="D903" s="39"/>
      <c r="E903" s="39"/>
      <c r="F903" s="39"/>
      <c r="G903" s="39"/>
      <c r="H903" s="39"/>
      <c r="I903" s="230"/>
      <c r="J903" s="231"/>
      <c r="K903" s="229"/>
    </row>
    <row r="904" spans="2:17" ht="15" customHeight="1">
      <c r="B904" s="39"/>
      <c r="C904" s="39"/>
      <c r="D904" s="39"/>
      <c r="E904" s="39"/>
      <c r="F904" s="39"/>
      <c r="G904" s="39"/>
      <c r="H904" s="39"/>
      <c r="I904" s="232"/>
      <c r="J904" s="232"/>
      <c r="K904" s="232"/>
    </row>
    <row r="905" spans="2:17" ht="15" customHeight="1">
      <c r="B905" s="39"/>
      <c r="C905" s="39"/>
      <c r="D905" s="39"/>
      <c r="E905" s="39"/>
      <c r="F905" s="39"/>
      <c r="G905" s="39"/>
      <c r="H905" s="39"/>
      <c r="I905" s="225"/>
      <c r="J905" s="226"/>
      <c r="K905" s="215"/>
    </row>
    <row r="906" spans="2:17" ht="17.25" thickBot="1">
      <c r="B906" s="7"/>
      <c r="C906" s="7"/>
      <c r="D906" s="7"/>
      <c r="E906" s="7"/>
      <c r="F906" s="39"/>
      <c r="G906" s="39"/>
      <c r="H906" s="39"/>
      <c r="I906" s="213"/>
      <c r="J906" s="233" t="s">
        <v>913</v>
      </c>
      <c r="K906" s="215"/>
    </row>
    <row r="907" spans="2:17" ht="20.25" customHeight="1">
      <c r="B907" s="7"/>
      <c r="C907" s="7"/>
      <c r="D907" s="7"/>
      <c r="E907" s="7"/>
      <c r="F907" s="39"/>
      <c r="G907" s="39"/>
      <c r="H907" s="39"/>
      <c r="I907" s="218"/>
      <c r="J907" s="219"/>
      <c r="K907" s="219"/>
      <c r="L907" s="25"/>
      <c r="M907" s="25"/>
      <c r="N907" s="25"/>
      <c r="O907" s="93"/>
      <c r="P907" s="97"/>
    </row>
    <row r="908" spans="2:17" ht="16.5">
      <c r="B908" s="7"/>
      <c r="C908" s="7"/>
      <c r="D908" s="7"/>
      <c r="E908" s="39"/>
      <c r="F908" s="39"/>
      <c r="G908" s="39"/>
      <c r="H908" s="39"/>
      <c r="I908" s="218"/>
      <c r="J908" s="219" t="s">
        <v>2526</v>
      </c>
      <c r="K908" s="219"/>
      <c r="L908" s="25"/>
      <c r="M908" s="25"/>
      <c r="N908" s="25"/>
      <c r="O908" s="25"/>
      <c r="P908" s="25"/>
    </row>
    <row r="909" spans="2:17" ht="16.5">
      <c r="B909" s="7"/>
      <c r="C909" s="7"/>
      <c r="D909" s="7"/>
      <c r="E909" s="39"/>
      <c r="F909" s="39"/>
      <c r="G909" s="39"/>
      <c r="H909" s="39"/>
      <c r="I909" s="218"/>
      <c r="J909" s="219"/>
      <c r="K909" s="219"/>
      <c r="L909" s="25"/>
      <c r="M909" s="25"/>
      <c r="N909" s="25"/>
      <c r="O909" s="25"/>
      <c r="P909" s="25"/>
    </row>
    <row r="910" spans="2:17" ht="16.5">
      <c r="B910" s="7"/>
      <c r="C910" s="7"/>
      <c r="D910" s="7"/>
      <c r="E910" s="39"/>
      <c r="F910" s="39"/>
      <c r="G910" s="39"/>
      <c r="H910" s="39"/>
      <c r="I910" s="218"/>
      <c r="J910" s="219"/>
      <c r="K910" s="219"/>
      <c r="L910" s="25"/>
      <c r="M910" s="25"/>
      <c r="N910" s="25"/>
      <c r="O910" s="25"/>
      <c r="P910" s="25"/>
      <c r="Q910" s="86"/>
    </row>
    <row r="911" spans="2:17" ht="16.5">
      <c r="B911" s="7"/>
      <c r="C911" s="7"/>
      <c r="D911" s="7"/>
      <c r="E911" s="39"/>
      <c r="F911" s="39"/>
      <c r="G911" s="39"/>
      <c r="H911" s="39"/>
      <c r="I911" s="218"/>
      <c r="J911" s="219"/>
      <c r="K911" s="219"/>
      <c r="L911" s="25"/>
      <c r="M911" s="25"/>
      <c r="N911" s="25"/>
      <c r="O911" s="25"/>
      <c r="P911" s="25"/>
    </row>
    <row r="912" spans="2:17" ht="16.5">
      <c r="B912" s="7"/>
      <c r="C912" s="7"/>
      <c r="D912" s="7"/>
      <c r="E912" s="39"/>
      <c r="F912" s="39"/>
      <c r="G912" s="39"/>
      <c r="H912" s="39"/>
      <c r="I912" s="218"/>
      <c r="J912" s="213"/>
      <c r="K912" s="219"/>
      <c r="L912" s="25"/>
      <c r="M912" s="25"/>
      <c r="N912" s="25"/>
      <c r="O912" s="25"/>
      <c r="P912" s="25"/>
      <c r="Q912" s="86"/>
    </row>
    <row r="913" spans="2:17" ht="16.5">
      <c r="B913" s="7"/>
      <c r="C913" s="7"/>
      <c r="D913" s="7"/>
      <c r="E913" s="39"/>
      <c r="F913" s="39"/>
      <c r="G913" s="39"/>
      <c r="H913" s="39"/>
      <c r="I913" s="222"/>
      <c r="J913" s="223"/>
      <c r="K913" s="219"/>
      <c r="L913" s="25"/>
      <c r="M913" s="25"/>
      <c r="N913" s="25"/>
      <c r="O913" s="25"/>
      <c r="P913" s="25"/>
    </row>
    <row r="914" spans="2:17" ht="16.5">
      <c r="B914" s="7"/>
      <c r="C914" s="7"/>
      <c r="D914" s="7"/>
      <c r="E914" s="39"/>
      <c r="F914" s="39"/>
      <c r="G914" s="39"/>
      <c r="H914" s="39"/>
      <c r="I914" s="222"/>
      <c r="J914" s="223"/>
      <c r="K914" s="219"/>
      <c r="L914" s="25"/>
      <c r="M914" s="25"/>
      <c r="N914" s="25"/>
      <c r="O914" s="25"/>
      <c r="P914" s="25"/>
    </row>
    <row r="915" spans="2:17" ht="16.5">
      <c r="B915" s="7"/>
      <c r="C915" s="7"/>
      <c r="D915" s="7"/>
      <c r="E915" s="39"/>
      <c r="F915" s="39"/>
      <c r="G915" s="39"/>
      <c r="H915" s="39"/>
      <c r="I915" s="222"/>
      <c r="J915" s="223"/>
      <c r="K915" s="219"/>
      <c r="L915" s="25"/>
      <c r="M915" s="25"/>
      <c r="N915" s="25"/>
      <c r="O915" s="25"/>
      <c r="P915" s="25"/>
    </row>
    <row r="916" spans="2:17" ht="16.5">
      <c r="B916" s="7"/>
      <c r="C916" s="7"/>
      <c r="D916" s="7"/>
      <c r="E916" s="39"/>
      <c r="F916" s="39"/>
      <c r="G916" s="39"/>
      <c r="H916" s="39"/>
      <c r="I916" s="222"/>
      <c r="J916" s="223"/>
      <c r="K916" s="219"/>
      <c r="L916" s="25"/>
      <c r="M916" s="25"/>
      <c r="N916" s="25"/>
      <c r="O916" s="25"/>
      <c r="P916" s="25"/>
    </row>
    <row r="917" spans="2:17" ht="16.5">
      <c r="B917" s="7"/>
      <c r="C917" s="7"/>
      <c r="D917" s="7"/>
      <c r="E917" s="39"/>
      <c r="F917" s="39"/>
      <c r="G917" s="39"/>
      <c r="H917" s="39"/>
      <c r="I917" s="222"/>
      <c r="J917" s="223"/>
      <c r="K917" s="219"/>
      <c r="L917" s="25"/>
      <c r="M917" s="25"/>
      <c r="N917" s="25"/>
      <c r="O917" s="25"/>
      <c r="P917" s="25"/>
    </row>
    <row r="918" spans="2:17" ht="16.5">
      <c r="B918" s="7"/>
      <c r="C918" s="7"/>
      <c r="D918" s="7"/>
      <c r="E918" s="39"/>
      <c r="F918" s="39"/>
      <c r="G918" s="39"/>
      <c r="H918" s="39"/>
      <c r="I918" s="222"/>
      <c r="J918" s="223"/>
      <c r="K918" s="219"/>
      <c r="L918" s="25"/>
      <c r="M918" s="25"/>
      <c r="N918" s="25"/>
      <c r="O918" s="25"/>
      <c r="P918" s="25"/>
      <c r="Q918" s="86"/>
    </row>
    <row r="919" spans="2:17" ht="16.5">
      <c r="B919" s="7"/>
      <c r="C919" s="7"/>
      <c r="D919" s="7"/>
      <c r="E919" s="39"/>
      <c r="F919" s="39"/>
      <c r="G919" s="39"/>
      <c r="H919" s="39"/>
      <c r="I919" s="222"/>
      <c r="J919" s="223"/>
      <c r="K919" s="219"/>
      <c r="L919" s="25"/>
      <c r="M919" s="25"/>
      <c r="N919" s="25"/>
      <c r="O919" s="25"/>
      <c r="P919" s="25"/>
    </row>
    <row r="920" spans="2:17" ht="16.5">
      <c r="B920" s="7"/>
      <c r="C920" s="7"/>
      <c r="D920" s="7"/>
      <c r="E920" s="39"/>
      <c r="F920" s="39"/>
      <c r="G920" s="39"/>
      <c r="H920" s="39"/>
      <c r="I920" s="222"/>
      <c r="J920" s="223"/>
      <c r="K920" s="219"/>
      <c r="L920" s="25"/>
      <c r="M920" s="25"/>
      <c r="N920" s="25"/>
      <c r="O920" s="25"/>
      <c r="P920" s="25"/>
    </row>
    <row r="921" spans="2:17" ht="16.5">
      <c r="B921" s="7"/>
      <c r="C921" s="7"/>
      <c r="D921" s="7"/>
      <c r="E921" s="39"/>
      <c r="F921" s="39"/>
      <c r="G921" s="39"/>
      <c r="H921" s="39"/>
      <c r="I921" s="218"/>
      <c r="J921" s="219"/>
      <c r="K921" s="219"/>
      <c r="L921" s="25"/>
      <c r="M921" s="25"/>
      <c r="N921" s="25"/>
      <c r="O921" s="25"/>
      <c r="P921" s="25"/>
    </row>
    <row r="922" spans="2:17" ht="16.5">
      <c r="B922" s="7"/>
      <c r="C922" s="7"/>
      <c r="D922" s="7"/>
      <c r="E922" s="39"/>
      <c r="F922" s="39"/>
      <c r="G922" s="39"/>
      <c r="H922" s="39"/>
      <c r="I922" s="218"/>
      <c r="J922" s="219"/>
      <c r="K922" s="219"/>
      <c r="L922" s="25"/>
      <c r="M922" s="25"/>
      <c r="N922" s="25"/>
      <c r="O922" s="25"/>
      <c r="P922" s="25"/>
    </row>
    <row r="923" spans="2:17" ht="16.5">
      <c r="B923" s="7"/>
      <c r="C923" s="7"/>
      <c r="D923" s="7"/>
      <c r="E923" s="39"/>
      <c r="F923" s="39"/>
      <c r="G923" s="39"/>
      <c r="H923" s="39"/>
      <c r="I923" s="218"/>
      <c r="J923" s="218"/>
      <c r="K923" s="219"/>
      <c r="L923" s="25"/>
      <c r="M923" s="25"/>
      <c r="N923" s="25"/>
      <c r="O923" s="25"/>
      <c r="P923" s="25"/>
    </row>
    <row r="924" spans="2:17" ht="16.5">
      <c r="B924" s="7"/>
      <c r="C924" s="7"/>
      <c r="D924" s="7"/>
      <c r="E924" s="39"/>
      <c r="F924" s="39"/>
      <c r="G924" s="39"/>
      <c r="H924" s="39"/>
      <c r="I924" s="218"/>
      <c r="J924" s="219"/>
      <c r="K924" s="219"/>
      <c r="L924" s="25"/>
      <c r="M924" s="25"/>
      <c r="N924" s="25"/>
      <c r="O924" s="25"/>
      <c r="P924" s="25"/>
    </row>
    <row r="925" spans="2:17" ht="16.5">
      <c r="B925" s="7"/>
      <c r="C925" s="7"/>
      <c r="D925" s="7"/>
      <c r="E925" s="39"/>
      <c r="F925" s="39"/>
      <c r="G925" s="39"/>
      <c r="H925" s="39"/>
      <c r="I925" s="218"/>
      <c r="J925" s="219"/>
      <c r="K925" s="219"/>
      <c r="L925" s="25"/>
      <c r="M925" s="25"/>
      <c r="N925" s="25"/>
      <c r="O925" s="25"/>
      <c r="P925" s="25"/>
    </row>
    <row r="926" spans="2:17" ht="16.5">
      <c r="B926" s="7"/>
      <c r="C926" s="7"/>
      <c r="D926" s="7"/>
      <c r="E926" s="39"/>
      <c r="F926" s="39"/>
      <c r="G926" s="39"/>
      <c r="H926" s="39"/>
      <c r="I926" s="218"/>
      <c r="J926" s="219"/>
      <c r="K926" s="219"/>
      <c r="L926" s="25"/>
      <c r="M926" s="25"/>
      <c r="N926" s="25"/>
      <c r="O926" s="25"/>
      <c r="P926" s="25"/>
    </row>
    <row r="927" spans="2:17" ht="16.5">
      <c r="B927" s="7"/>
      <c r="C927" s="7"/>
      <c r="D927" s="7"/>
      <c r="E927" s="39"/>
      <c r="F927" s="39"/>
      <c r="G927" s="39"/>
      <c r="H927" s="39"/>
      <c r="I927" s="218"/>
      <c r="J927" s="215"/>
      <c r="K927" s="219"/>
      <c r="L927" s="25"/>
      <c r="M927" s="25"/>
      <c r="N927" s="25"/>
      <c r="O927" s="25"/>
      <c r="P927" s="25"/>
    </row>
    <row r="928" spans="2:17" ht="16.5">
      <c r="B928" s="7"/>
      <c r="C928" s="7"/>
      <c r="D928" s="7"/>
      <c r="E928" s="39"/>
      <c r="F928" s="39"/>
      <c r="G928" s="39"/>
      <c r="H928" s="39"/>
      <c r="I928" s="218"/>
      <c r="J928" s="218"/>
      <c r="K928" s="219"/>
      <c r="L928" s="25"/>
      <c r="M928" s="25"/>
      <c r="N928" s="25"/>
      <c r="O928" s="25"/>
      <c r="P928" s="25"/>
    </row>
    <row r="929" spans="2:17" ht="16.5">
      <c r="B929" s="7"/>
      <c r="C929" s="7"/>
      <c r="D929" s="7"/>
      <c r="E929" s="39"/>
      <c r="F929" s="39"/>
      <c r="G929" s="39"/>
      <c r="H929" s="39"/>
      <c r="I929" s="218"/>
      <c r="J929" s="218"/>
      <c r="K929" s="219"/>
      <c r="L929" s="25"/>
      <c r="N929" s="25"/>
      <c r="O929" s="25"/>
      <c r="P929" s="25"/>
    </row>
    <row r="930" spans="2:17" ht="16.5">
      <c r="B930" s="7"/>
      <c r="C930" s="7"/>
      <c r="D930" s="7"/>
      <c r="E930" s="39"/>
      <c r="F930" s="39"/>
      <c r="G930" s="39"/>
      <c r="H930" s="39"/>
      <c r="I930" s="218"/>
      <c r="J930" s="219"/>
      <c r="K930" s="219"/>
      <c r="L930" s="25"/>
      <c r="M930" s="25"/>
      <c r="N930" s="25"/>
      <c r="O930" s="25"/>
      <c r="P930" s="25"/>
      <c r="Q930" s="86"/>
    </row>
    <row r="931" spans="2:17" ht="16.5">
      <c r="B931" s="7"/>
      <c r="C931" s="7"/>
      <c r="D931" s="7"/>
      <c r="E931" s="39"/>
      <c r="F931" s="39"/>
      <c r="G931" s="39"/>
      <c r="H931" s="39"/>
      <c r="I931" s="222"/>
      <c r="J931" s="223"/>
      <c r="K931" s="219"/>
      <c r="L931" s="25"/>
      <c r="N931" s="25"/>
      <c r="O931" s="25"/>
      <c r="P931" s="25"/>
    </row>
    <row r="932" spans="2:17" ht="16.5">
      <c r="B932" s="7"/>
      <c r="C932" s="7"/>
      <c r="D932" s="7"/>
      <c r="E932" s="39"/>
      <c r="F932" s="39"/>
      <c r="G932" s="39"/>
      <c r="H932" s="39"/>
      <c r="I932" s="219"/>
      <c r="J932" s="218"/>
      <c r="K932" s="219"/>
      <c r="L932" s="234"/>
      <c r="M932" s="235"/>
      <c r="N932" s="83"/>
      <c r="O932" s="25"/>
      <c r="P932" s="25"/>
    </row>
    <row r="933" spans="2:17" ht="16.5">
      <c r="B933" s="7"/>
      <c r="C933" s="7"/>
      <c r="D933" s="7"/>
      <c r="E933" s="39"/>
      <c r="F933" s="39"/>
      <c r="G933" s="39"/>
      <c r="H933" s="39"/>
      <c r="I933" s="222"/>
      <c r="J933" s="223"/>
      <c r="K933" s="219"/>
      <c r="L933" s="234"/>
      <c r="M933" s="235"/>
      <c r="N933" s="83"/>
      <c r="O933" s="25"/>
      <c r="P933" s="25"/>
    </row>
    <row r="934" spans="2:17" ht="16.5">
      <c r="B934" s="7"/>
      <c r="C934" s="7"/>
      <c r="D934" s="7"/>
      <c r="E934" s="39"/>
      <c r="F934" s="39"/>
      <c r="G934" s="39"/>
      <c r="H934" s="39"/>
      <c r="I934" s="222"/>
      <c r="J934" s="223"/>
      <c r="K934" s="219"/>
      <c r="L934" s="234"/>
      <c r="M934" s="235"/>
      <c r="N934" s="83"/>
      <c r="O934" s="25"/>
      <c r="P934" s="25"/>
    </row>
    <row r="935" spans="2:17" ht="16.5">
      <c r="B935" s="7"/>
      <c r="C935" s="7"/>
      <c r="D935" s="7"/>
      <c r="E935" s="39"/>
      <c r="F935" s="39"/>
      <c r="G935" s="39"/>
      <c r="H935" s="39"/>
      <c r="I935" s="222"/>
      <c r="J935" s="223"/>
      <c r="K935" s="219"/>
      <c r="L935" s="234"/>
      <c r="M935" s="235"/>
      <c r="N935" s="83"/>
      <c r="O935" s="25"/>
      <c r="P935" s="25"/>
    </row>
    <row r="936" spans="2:17" ht="16.5">
      <c r="B936" s="7"/>
      <c r="C936" s="7"/>
      <c r="D936" s="7"/>
      <c r="E936" s="39"/>
      <c r="F936" s="39"/>
      <c r="G936" s="39"/>
      <c r="H936" s="39"/>
      <c r="I936" s="218"/>
      <c r="J936" s="223"/>
      <c r="K936" s="219"/>
      <c r="L936" s="234"/>
      <c r="M936" s="235"/>
      <c r="N936" s="83"/>
      <c r="O936" s="25"/>
      <c r="P936" s="25"/>
    </row>
    <row r="937" spans="2:17" ht="16.5">
      <c r="B937" s="7"/>
      <c r="C937" s="7"/>
      <c r="D937" s="7"/>
      <c r="E937" s="39"/>
      <c r="F937" s="39"/>
      <c r="G937" s="39"/>
      <c r="H937" s="39"/>
      <c r="I937" s="218"/>
      <c r="J937" s="223"/>
      <c r="K937" s="219"/>
      <c r="L937" s="234"/>
      <c r="M937" s="235"/>
      <c r="N937" s="83"/>
      <c r="O937" s="25"/>
      <c r="P937" s="25"/>
    </row>
    <row r="938" spans="2:17" ht="16.5">
      <c r="B938" s="7"/>
      <c r="C938" s="7"/>
      <c r="D938" s="7"/>
      <c r="E938" s="39"/>
      <c r="F938" s="39"/>
      <c r="G938" s="39"/>
      <c r="H938" s="39"/>
      <c r="I938" s="218"/>
      <c r="J938" s="219"/>
      <c r="K938" s="219"/>
      <c r="L938" s="234"/>
      <c r="M938" s="235"/>
      <c r="N938" s="83"/>
      <c r="O938" s="25"/>
      <c r="P938" s="25"/>
    </row>
    <row r="939" spans="2:17" ht="16.5">
      <c r="B939" s="7"/>
      <c r="C939" s="7"/>
      <c r="D939" s="7"/>
      <c r="E939" s="39"/>
      <c r="F939" s="39"/>
      <c r="G939" s="39"/>
      <c r="H939" s="39"/>
      <c r="I939" s="222"/>
      <c r="J939" s="223"/>
      <c r="K939" s="219"/>
      <c r="L939" s="234"/>
      <c r="M939" s="235"/>
      <c r="N939" s="83"/>
      <c r="O939" s="25"/>
      <c r="P939" s="25"/>
    </row>
    <row r="940" spans="2:17" ht="16.5">
      <c r="B940" s="7"/>
      <c r="C940" s="7"/>
      <c r="D940" s="7"/>
      <c r="E940" s="39"/>
      <c r="F940" s="39"/>
      <c r="G940" s="39"/>
      <c r="H940" s="39"/>
      <c r="I940" s="222"/>
      <c r="J940" s="223"/>
      <c r="K940" s="219"/>
      <c r="L940" s="234"/>
      <c r="M940" s="235"/>
      <c r="N940" s="83"/>
      <c r="O940" s="25"/>
      <c r="P940" s="25"/>
    </row>
    <row r="941" spans="2:17" ht="16.5">
      <c r="B941" s="7"/>
      <c r="C941" s="7"/>
      <c r="D941" s="7"/>
      <c r="E941" s="39"/>
      <c r="F941" s="39"/>
      <c r="G941" s="39"/>
      <c r="H941" s="39"/>
      <c r="I941" s="222"/>
      <c r="J941" s="223"/>
      <c r="K941" s="219"/>
      <c r="L941" s="234"/>
      <c r="M941" s="235"/>
      <c r="N941" s="83"/>
      <c r="O941" s="25"/>
      <c r="P941" s="25"/>
    </row>
    <row r="942" spans="2:17" ht="16.5">
      <c r="B942" s="7"/>
      <c r="C942" s="7"/>
      <c r="D942" s="7"/>
      <c r="E942" s="39"/>
      <c r="F942" s="39"/>
      <c r="G942" s="39"/>
      <c r="H942" s="39"/>
      <c r="I942" s="222"/>
      <c r="J942" s="223"/>
      <c r="K942" s="219"/>
      <c r="L942" s="25"/>
      <c r="N942" s="25"/>
      <c r="O942" s="25"/>
      <c r="P942" s="25"/>
    </row>
    <row r="943" spans="2:17" ht="16.5">
      <c r="B943" s="7"/>
      <c r="C943" s="7"/>
      <c r="D943" s="7"/>
      <c r="E943" s="39"/>
      <c r="F943" s="39"/>
      <c r="G943" s="39"/>
      <c r="H943" s="39"/>
      <c r="I943" s="218"/>
      <c r="J943" s="236"/>
      <c r="K943" s="219"/>
      <c r="L943" s="25"/>
      <c r="M943" s="25"/>
      <c r="N943" s="25"/>
      <c r="O943" s="25"/>
      <c r="P943" s="25"/>
    </row>
    <row r="944" spans="2:17" ht="16.5">
      <c r="B944" s="7"/>
      <c r="C944" s="7"/>
      <c r="D944" s="7"/>
      <c r="E944" s="39"/>
      <c r="F944" s="39"/>
      <c r="G944" s="39"/>
      <c r="H944" s="39"/>
      <c r="I944" s="218"/>
      <c r="J944" s="237" t="s">
        <v>2527</v>
      </c>
      <c r="K944" s="219"/>
      <c r="L944" s="25"/>
      <c r="M944" s="25"/>
      <c r="N944" s="25"/>
      <c r="O944" s="25"/>
      <c r="P944" s="25"/>
    </row>
    <row r="945" spans="2:16" ht="16.5">
      <c r="B945" s="7"/>
      <c r="C945" s="7"/>
      <c r="D945" s="7"/>
      <c r="E945" s="39"/>
      <c r="F945" s="39"/>
      <c r="G945" s="39"/>
      <c r="H945" s="39"/>
      <c r="I945" s="218"/>
      <c r="J945" s="237"/>
      <c r="K945" s="219"/>
      <c r="L945" s="25"/>
      <c r="M945" s="25"/>
      <c r="N945" s="25"/>
      <c r="P945" s="25"/>
    </row>
    <row r="946" spans="2:16" ht="16.5">
      <c r="B946" s="7"/>
      <c r="C946" s="7"/>
      <c r="D946" s="7"/>
      <c r="E946" s="39"/>
      <c r="F946" s="39"/>
      <c r="G946" s="39"/>
      <c r="H946" s="39"/>
      <c r="I946" s="218"/>
      <c r="J946" s="237"/>
      <c r="K946" s="219"/>
      <c r="L946" s="25"/>
      <c r="P946" s="25"/>
    </row>
    <row r="947" spans="2:16" ht="16.5">
      <c r="B947" s="7"/>
      <c r="C947" s="7"/>
      <c r="D947" s="7"/>
      <c r="E947" s="39"/>
      <c r="F947" s="39"/>
      <c r="G947" s="39"/>
      <c r="H947" s="39"/>
      <c r="I947" s="218"/>
      <c r="J947" s="236"/>
      <c r="K947" s="219"/>
      <c r="L947" s="25"/>
      <c r="M947" s="25"/>
      <c r="N947" s="25"/>
      <c r="O947" s="25"/>
      <c r="P947" s="25"/>
    </row>
    <row r="948" spans="2:16" ht="16.5">
      <c r="B948" s="7"/>
      <c r="C948" s="7"/>
      <c r="D948" s="7"/>
      <c r="E948" s="39"/>
      <c r="F948" s="39"/>
      <c r="G948" s="39"/>
      <c r="H948" s="39"/>
      <c r="I948" s="218"/>
      <c r="J948" s="236"/>
      <c r="K948" s="219"/>
      <c r="L948" s="25"/>
      <c r="M948" s="25"/>
      <c r="N948" s="25"/>
      <c r="O948" s="25"/>
      <c r="P948" s="25"/>
    </row>
    <row r="949" spans="2:16" ht="16.5">
      <c r="B949" s="7"/>
      <c r="C949" s="7"/>
      <c r="D949" s="7"/>
      <c r="E949" s="39"/>
      <c r="F949" s="39"/>
      <c r="G949" s="39"/>
      <c r="H949" s="39"/>
      <c r="I949" s="218"/>
      <c r="J949" s="236"/>
      <c r="K949" s="219"/>
      <c r="L949" s="25"/>
      <c r="M949" s="25"/>
      <c r="N949" s="25"/>
      <c r="O949" s="25"/>
      <c r="P949" s="25"/>
    </row>
    <row r="950" spans="2:16" ht="16.5">
      <c r="B950" s="7"/>
      <c r="C950" s="7"/>
      <c r="D950" s="7"/>
      <c r="E950" s="39"/>
      <c r="F950" s="39"/>
      <c r="G950" s="39"/>
      <c r="H950" s="39"/>
      <c r="I950" s="218"/>
      <c r="J950" s="236"/>
      <c r="K950" s="219"/>
      <c r="L950" s="25"/>
      <c r="M950" s="25"/>
      <c r="N950" s="25"/>
      <c r="O950" s="25"/>
      <c r="P950" s="25"/>
    </row>
    <row r="951" spans="2:16" ht="16.5">
      <c r="B951" s="7"/>
      <c r="C951" s="7"/>
      <c r="D951" s="7"/>
      <c r="E951" s="39"/>
      <c r="F951" s="39"/>
      <c r="G951" s="39"/>
      <c r="H951" s="39"/>
      <c r="I951" s="218"/>
      <c r="J951" s="236"/>
      <c r="K951" s="219"/>
      <c r="L951" s="25"/>
      <c r="M951" s="25"/>
      <c r="N951" s="25"/>
      <c r="O951" s="25"/>
      <c r="P951" s="25"/>
    </row>
    <row r="952" spans="2:16" ht="16.5">
      <c r="B952" s="7"/>
      <c r="C952" s="7"/>
      <c r="D952" s="7"/>
      <c r="E952" s="39"/>
      <c r="F952" s="39"/>
      <c r="G952" s="39"/>
      <c r="H952" s="39"/>
      <c r="I952" s="218"/>
      <c r="J952" s="236"/>
      <c r="K952" s="238"/>
      <c r="L952" s="25"/>
      <c r="M952" s="25"/>
      <c r="N952" s="25"/>
      <c r="O952" s="25"/>
      <c r="P952" s="25"/>
    </row>
    <row r="953" spans="2:16" ht="16.5">
      <c r="B953" s="7"/>
      <c r="C953" s="7"/>
      <c r="D953" s="7"/>
      <c r="E953" s="39"/>
      <c r="F953" s="39"/>
      <c r="G953" s="39"/>
      <c r="H953" s="39"/>
      <c r="I953" s="213"/>
      <c r="J953" s="236"/>
      <c r="K953" s="219"/>
      <c r="L953" s="25"/>
      <c r="M953" s="25"/>
      <c r="N953" s="25"/>
      <c r="O953" s="25"/>
      <c r="P953" s="25"/>
    </row>
    <row r="954" spans="2:16" ht="16.5">
      <c r="B954" s="7"/>
      <c r="C954" s="7"/>
      <c r="D954" s="7"/>
      <c r="E954" s="39"/>
      <c r="F954" s="39"/>
      <c r="G954" s="39"/>
      <c r="H954" s="39"/>
      <c r="I954" s="222"/>
      <c r="J954" s="226"/>
      <c r="K954" s="219"/>
    </row>
    <row r="955" spans="2:16" ht="16.5">
      <c r="B955" s="7"/>
      <c r="C955" s="7"/>
      <c r="D955" s="7"/>
      <c r="E955" s="39"/>
      <c r="F955" s="39"/>
      <c r="G955" s="39"/>
      <c r="H955" s="39"/>
      <c r="I955" s="225"/>
      <c r="J955" s="226"/>
      <c r="K955" s="215"/>
      <c r="N955" s="25"/>
      <c r="O955" s="25"/>
      <c r="P955" s="25"/>
    </row>
    <row r="956" spans="2:16" ht="16.5">
      <c r="B956" s="7"/>
      <c r="C956" s="7"/>
      <c r="D956" s="7"/>
      <c r="E956" s="39"/>
      <c r="F956" s="39"/>
      <c r="G956" s="39"/>
      <c r="H956" s="39"/>
      <c r="I956" s="222"/>
      <c r="J956" s="223"/>
      <c r="K956" s="215"/>
      <c r="L956" s="25"/>
      <c r="O956" s="25"/>
      <c r="P956" s="25"/>
    </row>
    <row r="957" spans="2:16" ht="16.5">
      <c r="B957" s="7"/>
      <c r="C957" s="7"/>
      <c r="D957" s="7"/>
      <c r="E957" s="39"/>
      <c r="F957" s="39"/>
      <c r="G957" s="39"/>
      <c r="H957" s="39"/>
      <c r="I957" s="218"/>
      <c r="J957" s="236"/>
      <c r="K957" s="219"/>
      <c r="L957" s="25"/>
      <c r="M957" s="25"/>
      <c r="N957" s="25"/>
      <c r="O957" s="25"/>
      <c r="P957" s="25"/>
    </row>
    <row r="958" spans="2:16" ht="16.5">
      <c r="B958" s="7"/>
      <c r="C958" s="7"/>
      <c r="D958" s="7"/>
      <c r="E958" s="39"/>
      <c r="F958" s="39"/>
      <c r="G958" s="39"/>
      <c r="H958" s="39"/>
      <c r="I958" s="218"/>
      <c r="J958" s="236"/>
      <c r="K958" s="219"/>
      <c r="L958" s="25"/>
      <c r="M958" s="25"/>
      <c r="N958" s="25"/>
      <c r="O958" s="25"/>
      <c r="P958" s="25"/>
    </row>
    <row r="959" spans="2:16" ht="16.5">
      <c r="B959" s="7"/>
      <c r="C959" s="7"/>
      <c r="D959" s="7"/>
      <c r="E959" s="39"/>
      <c r="F959" s="39"/>
      <c r="G959" s="39"/>
      <c r="H959" s="39"/>
      <c r="I959" s="218"/>
      <c r="J959" s="236"/>
      <c r="K959" s="219"/>
      <c r="L959" s="25"/>
      <c r="M959" s="25"/>
      <c r="N959" s="25"/>
      <c r="O959" s="25"/>
      <c r="P959" s="25"/>
    </row>
    <row r="960" spans="2:16" ht="16.5">
      <c r="B960" s="7"/>
      <c r="C960" s="7"/>
      <c r="D960" s="7"/>
      <c r="E960" s="39"/>
      <c r="F960" s="39"/>
      <c r="G960" s="39"/>
      <c r="H960" s="39"/>
      <c r="I960" s="225"/>
      <c r="J960" s="223"/>
      <c r="K960" s="219"/>
      <c r="L960" s="25"/>
      <c r="M960" s="25"/>
      <c r="N960" s="25"/>
      <c r="O960" s="25"/>
      <c r="P960" s="25"/>
    </row>
    <row r="961" spans="2:16" ht="16.5" customHeight="1">
      <c r="B961" s="7"/>
      <c r="C961" s="7"/>
      <c r="D961" s="7"/>
      <c r="E961" s="39"/>
      <c r="F961" s="39"/>
      <c r="G961" s="39"/>
      <c r="H961" s="39"/>
      <c r="I961" s="239"/>
      <c r="J961" s="223"/>
      <c r="K961" s="219"/>
      <c r="L961" s="25"/>
      <c r="M961" s="25"/>
      <c r="N961" s="25"/>
      <c r="O961" s="25"/>
      <c r="P961" s="25"/>
    </row>
    <row r="962" spans="2:16" ht="16.5">
      <c r="B962" s="7"/>
      <c r="C962" s="7"/>
      <c r="D962" s="7"/>
      <c r="E962" s="39"/>
      <c r="F962" s="39"/>
      <c r="G962" s="39"/>
      <c r="H962" s="39"/>
      <c r="I962" s="225"/>
      <c r="J962" s="223"/>
      <c r="K962" s="219"/>
      <c r="L962" s="25"/>
      <c r="M962" s="25"/>
      <c r="N962" s="25"/>
      <c r="O962" s="25"/>
      <c r="P962" s="25"/>
    </row>
    <row r="963" spans="2:16" ht="16.5">
      <c r="B963" s="7"/>
      <c r="C963" s="7"/>
      <c r="D963" s="7"/>
      <c r="E963" s="39"/>
      <c r="F963" s="39"/>
      <c r="G963" s="39"/>
      <c r="H963" s="39"/>
      <c r="I963" s="222"/>
      <c r="J963" s="223"/>
      <c r="K963" s="219"/>
      <c r="P963" s="25"/>
    </row>
    <row r="964" spans="2:16" ht="16.5">
      <c r="B964" s="7"/>
      <c r="C964" s="7"/>
      <c r="D964" s="7"/>
      <c r="E964" s="39"/>
      <c r="F964" s="39"/>
      <c r="G964" s="39"/>
      <c r="H964" s="39"/>
      <c r="I964" s="225"/>
      <c r="J964" s="223"/>
      <c r="K964" s="219"/>
      <c r="L964" s="25"/>
      <c r="M964" s="25"/>
      <c r="N964" s="25"/>
      <c r="O964" s="25"/>
      <c r="P964" s="25"/>
    </row>
    <row r="965" spans="2:16" ht="16.5">
      <c r="B965" s="7"/>
      <c r="C965" s="7"/>
      <c r="D965" s="7"/>
      <c r="E965" s="39"/>
      <c r="F965" s="39"/>
      <c r="G965" s="39"/>
      <c r="H965" s="39"/>
      <c r="I965" s="222"/>
      <c r="J965" s="240" t="s">
        <v>1902</v>
      </c>
      <c r="K965" s="219"/>
      <c r="P965" s="25"/>
    </row>
    <row r="966" spans="2:16" ht="16.5">
      <c r="B966" s="7"/>
      <c r="C966" s="7"/>
      <c r="D966" s="7"/>
      <c r="E966" s="39"/>
      <c r="F966" s="39"/>
      <c r="G966" s="39"/>
      <c r="H966" s="39"/>
      <c r="I966" s="213"/>
      <c r="J966" s="236"/>
      <c r="K966" s="219"/>
      <c r="L966" s="25"/>
      <c r="M966" s="25"/>
      <c r="N966" s="25"/>
      <c r="O966" s="25"/>
      <c r="P966" s="25"/>
    </row>
    <row r="967" spans="2:16" ht="16.5">
      <c r="B967" s="7"/>
      <c r="C967" s="7"/>
      <c r="D967" s="7"/>
      <c r="E967" s="39"/>
      <c r="F967" s="39"/>
      <c r="G967" s="39"/>
      <c r="H967" s="39"/>
      <c r="I967" s="218"/>
      <c r="J967" s="236"/>
      <c r="K967" s="219"/>
      <c r="L967" s="25"/>
      <c r="M967" s="25"/>
      <c r="N967" s="25"/>
      <c r="O967" s="25"/>
      <c r="P967" s="25"/>
    </row>
    <row r="968" spans="2:16" ht="16.5">
      <c r="B968" s="7"/>
      <c r="C968" s="7"/>
      <c r="D968" s="7"/>
      <c r="E968" s="39"/>
      <c r="F968" s="39"/>
      <c r="G968" s="39"/>
      <c r="H968" s="39"/>
      <c r="I968" s="218"/>
      <c r="J968" s="236"/>
      <c r="K968" s="219"/>
      <c r="L968" s="25"/>
      <c r="M968" s="25"/>
      <c r="N968" s="25"/>
      <c r="O968" s="25"/>
      <c r="P968" s="25"/>
    </row>
    <row r="969" spans="2:16" ht="16.5">
      <c r="B969" s="7"/>
      <c r="C969" s="7"/>
      <c r="D969" s="7"/>
      <c r="E969" s="39"/>
      <c r="F969" s="39"/>
      <c r="G969" s="39"/>
      <c r="H969" s="39"/>
      <c r="I969" s="218"/>
      <c r="J969" s="236"/>
      <c r="K969" s="219"/>
      <c r="L969" s="25"/>
      <c r="M969" s="25"/>
      <c r="N969" s="25"/>
      <c r="O969" s="25"/>
      <c r="P969" s="25"/>
    </row>
    <row r="970" spans="2:16" ht="16.5">
      <c r="B970" s="7"/>
      <c r="C970" s="7"/>
      <c r="D970" s="7"/>
      <c r="E970" s="39"/>
      <c r="F970" s="39"/>
      <c r="G970" s="39"/>
      <c r="H970" s="39"/>
      <c r="I970" s="218"/>
      <c r="J970" s="219"/>
      <c r="K970" s="219"/>
      <c r="L970" s="25"/>
      <c r="M970" s="25"/>
      <c r="N970" s="25"/>
      <c r="O970" s="25"/>
      <c r="P970" s="25"/>
    </row>
    <row r="971" spans="2:16" ht="16.5">
      <c r="B971" s="7"/>
      <c r="C971" s="7"/>
      <c r="D971" s="7"/>
      <c r="E971" s="39"/>
      <c r="F971" s="39"/>
      <c r="G971" s="39"/>
      <c r="H971" s="39"/>
      <c r="I971" s="218"/>
      <c r="J971" s="219"/>
      <c r="K971" s="219"/>
      <c r="L971" s="25"/>
      <c r="M971" s="25"/>
      <c r="N971" s="25"/>
      <c r="O971" s="25"/>
      <c r="P971" s="25"/>
    </row>
    <row r="972" spans="2:16" ht="16.5">
      <c r="B972" s="7"/>
      <c r="C972" s="7"/>
      <c r="D972" s="7"/>
      <c r="E972" s="39"/>
      <c r="F972" s="39"/>
      <c r="G972" s="39"/>
      <c r="H972" s="39"/>
      <c r="I972" s="218"/>
      <c r="J972" s="219"/>
      <c r="K972" s="219"/>
      <c r="L972" s="25"/>
      <c r="M972" s="25"/>
      <c r="N972" s="25"/>
      <c r="O972" s="25"/>
      <c r="P972" s="25"/>
    </row>
    <row r="973" spans="2:16" ht="16.5">
      <c r="B973" s="7"/>
      <c r="C973" s="7"/>
      <c r="D973" s="7"/>
      <c r="E973" s="39"/>
      <c r="F973" s="39"/>
      <c r="G973" s="39"/>
      <c r="H973" s="39"/>
      <c r="I973" s="218"/>
      <c r="J973" s="219"/>
      <c r="K973" s="219"/>
      <c r="L973" s="25"/>
      <c r="M973" s="25"/>
      <c r="N973" s="25"/>
      <c r="O973" s="25"/>
      <c r="P973" s="25"/>
    </row>
    <row r="974" spans="2:16" ht="16.5">
      <c r="B974" s="7"/>
      <c r="C974" s="7"/>
      <c r="D974" s="7"/>
      <c r="E974" s="39"/>
      <c r="F974" s="39"/>
      <c r="G974" s="39"/>
      <c r="H974" s="39"/>
      <c r="I974" s="218"/>
      <c r="J974" s="236"/>
      <c r="K974" s="219"/>
      <c r="L974" s="25"/>
      <c r="M974" s="25"/>
      <c r="N974" s="25"/>
      <c r="O974" s="25"/>
      <c r="P974" s="25"/>
    </row>
    <row r="975" spans="2:16" ht="16.5">
      <c r="B975" s="7"/>
      <c r="C975" s="7"/>
      <c r="D975" s="7"/>
      <c r="E975" s="39"/>
      <c r="F975" s="39"/>
      <c r="G975" s="39"/>
      <c r="H975" s="39"/>
      <c r="I975" s="218"/>
      <c r="J975" s="236"/>
      <c r="K975" s="219"/>
      <c r="L975" s="25"/>
      <c r="M975" s="25"/>
      <c r="N975" s="25"/>
      <c r="O975" s="25"/>
      <c r="P975" s="25"/>
    </row>
    <row r="976" spans="2:16" ht="16.5">
      <c r="B976" s="7"/>
      <c r="C976" s="7"/>
      <c r="D976" s="7"/>
      <c r="E976" s="39"/>
      <c r="F976" s="39"/>
      <c r="G976" s="39"/>
      <c r="H976" s="39"/>
      <c r="I976" s="218"/>
      <c r="J976" s="236"/>
      <c r="K976" s="219"/>
      <c r="L976" s="25"/>
      <c r="M976" s="25"/>
      <c r="N976" s="25"/>
      <c r="O976" s="25"/>
      <c r="P976" s="25"/>
    </row>
    <row r="977" spans="2:17" ht="16.5">
      <c r="B977" s="7"/>
      <c r="C977" s="7"/>
      <c r="D977" s="7"/>
      <c r="E977" s="39"/>
      <c r="F977" s="39"/>
      <c r="G977" s="39"/>
      <c r="H977" s="39"/>
      <c r="I977" s="222"/>
      <c r="J977" s="223"/>
      <c r="K977" s="219"/>
      <c r="L977" s="25"/>
      <c r="M977" s="25"/>
      <c r="N977" s="25"/>
      <c r="O977" s="25"/>
      <c r="P977" s="25"/>
      <c r="Q977" s="86"/>
    </row>
    <row r="978" spans="2:17" ht="16.5">
      <c r="B978" s="7"/>
      <c r="C978" s="7"/>
      <c r="D978" s="7"/>
      <c r="E978" s="39"/>
      <c r="F978" s="39"/>
      <c r="G978" s="39"/>
      <c r="H978" s="39"/>
      <c r="I978" s="218"/>
      <c r="J978" s="219"/>
      <c r="K978" s="219"/>
      <c r="L978" s="25"/>
      <c r="M978" s="25"/>
      <c r="N978" s="25"/>
      <c r="O978" s="25"/>
      <c r="P978" s="25"/>
    </row>
    <row r="979" spans="2:17" ht="16.5">
      <c r="B979" s="7"/>
      <c r="C979" s="7"/>
      <c r="D979" s="7"/>
      <c r="E979" s="39"/>
      <c r="F979" s="39"/>
      <c r="G979" s="39"/>
      <c r="H979" s="39"/>
      <c r="I979" s="221"/>
      <c r="J979" s="219"/>
      <c r="K979" s="219"/>
      <c r="L979" s="25"/>
      <c r="M979" s="25"/>
      <c r="N979" s="25"/>
      <c r="O979" s="25"/>
      <c r="P979" s="25"/>
    </row>
    <row r="980" spans="2:17" ht="16.5">
      <c r="B980" s="7"/>
      <c r="C980" s="7"/>
      <c r="D980" s="7"/>
      <c r="E980" s="39"/>
      <c r="F980" s="39"/>
      <c r="G980" s="39"/>
      <c r="H980" s="39"/>
      <c r="I980" s="221"/>
      <c r="J980" s="219"/>
      <c r="K980" s="219"/>
      <c r="L980" s="25"/>
      <c r="M980" s="25"/>
      <c r="N980" s="25"/>
      <c r="O980" s="25"/>
      <c r="P980" s="25"/>
    </row>
    <row r="981" spans="2:17" ht="16.5">
      <c r="B981" s="7"/>
      <c r="C981" s="7"/>
      <c r="D981" s="7"/>
      <c r="E981" s="39"/>
      <c r="F981" s="39"/>
      <c r="G981" s="39"/>
      <c r="H981" s="39"/>
      <c r="I981" s="218"/>
      <c r="J981" s="219"/>
      <c r="K981" s="219"/>
      <c r="L981" s="25"/>
      <c r="M981" s="25"/>
      <c r="N981" s="25"/>
      <c r="O981" s="25"/>
      <c r="P981" s="25"/>
    </row>
    <row r="982" spans="2:17" ht="16.5">
      <c r="B982" s="7"/>
      <c r="C982" s="7"/>
      <c r="D982" s="7"/>
      <c r="E982" s="39"/>
      <c r="F982" s="39"/>
      <c r="G982" s="39"/>
      <c r="H982" s="39"/>
      <c r="I982" s="218"/>
      <c r="J982" s="219"/>
      <c r="K982" s="219"/>
      <c r="L982" s="25"/>
      <c r="M982" s="25"/>
      <c r="N982" s="25"/>
      <c r="O982" s="25"/>
      <c r="P982" s="25"/>
    </row>
    <row r="983" spans="2:17" ht="16.5">
      <c r="B983" s="7"/>
      <c r="C983" s="7"/>
      <c r="D983" s="7"/>
      <c r="E983" s="39"/>
      <c r="F983" s="39"/>
      <c r="G983" s="39"/>
      <c r="H983" s="39"/>
      <c r="I983" s="218"/>
      <c r="J983" s="219"/>
      <c r="K983" s="219"/>
      <c r="L983" s="25"/>
      <c r="M983" s="25"/>
      <c r="N983" s="25"/>
      <c r="O983" s="25"/>
      <c r="P983" s="25"/>
    </row>
    <row r="984" spans="2:17" ht="16.5">
      <c r="B984" s="7"/>
      <c r="C984" s="7"/>
      <c r="D984" s="7"/>
      <c r="E984" s="39"/>
      <c r="F984" s="39"/>
      <c r="G984" s="39"/>
      <c r="H984" s="39"/>
      <c r="I984" s="218"/>
      <c r="J984" s="219"/>
      <c r="K984" s="219"/>
      <c r="L984" s="25"/>
      <c r="M984" s="25"/>
      <c r="N984" s="25"/>
      <c r="O984" s="25"/>
      <c r="P984" s="25"/>
    </row>
    <row r="985" spans="2:17" ht="16.5">
      <c r="B985" s="7"/>
      <c r="C985" s="7"/>
      <c r="D985" s="7"/>
      <c r="E985" s="39"/>
      <c r="F985" s="39"/>
      <c r="G985" s="39"/>
      <c r="H985" s="39"/>
      <c r="I985" s="218"/>
      <c r="J985" s="219"/>
      <c r="K985" s="219"/>
      <c r="L985" s="25"/>
      <c r="M985" s="25"/>
      <c r="N985" s="25"/>
      <c r="O985" s="25"/>
      <c r="P985" s="25"/>
    </row>
    <row r="986" spans="2:17" ht="16.5">
      <c r="B986" s="7"/>
      <c r="C986" s="7"/>
      <c r="D986" s="7"/>
      <c r="E986" s="39"/>
      <c r="F986" s="39"/>
      <c r="G986" s="39"/>
      <c r="H986" s="39"/>
      <c r="I986" s="218"/>
      <c r="J986" s="219"/>
      <c r="K986" s="219"/>
      <c r="L986" s="25"/>
      <c r="M986" s="25"/>
      <c r="N986" s="25"/>
      <c r="O986" s="25"/>
      <c r="P986" s="25"/>
    </row>
    <row r="987" spans="2:17" ht="16.5">
      <c r="B987" s="7"/>
      <c r="C987" s="7"/>
      <c r="D987" s="7"/>
      <c r="E987" s="39"/>
      <c r="F987" s="39"/>
      <c r="G987" s="39"/>
      <c r="H987" s="39"/>
      <c r="I987" s="221"/>
      <c r="J987" s="219"/>
      <c r="K987" s="219"/>
      <c r="L987" s="25"/>
      <c r="M987" s="25"/>
      <c r="N987" s="25"/>
      <c r="O987" s="25"/>
      <c r="P987" s="25"/>
    </row>
    <row r="988" spans="2:17" ht="16.5">
      <c r="B988" s="7"/>
      <c r="C988" s="7"/>
      <c r="D988" s="7"/>
      <c r="E988" s="39"/>
      <c r="F988" s="39"/>
      <c r="G988" s="241" t="s">
        <v>559</v>
      </c>
      <c r="H988" s="39"/>
      <c r="I988" s="242"/>
      <c r="J988" s="243"/>
      <c r="K988" s="243"/>
      <c r="L988" s="25"/>
      <c r="M988" s="25"/>
      <c r="N988" s="25"/>
      <c r="O988" s="25"/>
      <c r="P988" s="25"/>
    </row>
    <row r="989" spans="2:17" ht="16.5">
      <c r="B989" s="7"/>
      <c r="C989" s="7"/>
      <c r="D989" s="7"/>
      <c r="E989" s="39"/>
      <c r="F989" s="39"/>
      <c r="G989" s="241" t="s">
        <v>559</v>
      </c>
      <c r="H989" s="39"/>
      <c r="I989" s="242"/>
      <c r="J989" s="243"/>
      <c r="K989" s="243"/>
      <c r="L989" s="25"/>
      <c r="M989" s="25"/>
      <c r="N989" s="25"/>
      <c r="O989" s="25"/>
      <c r="P989" s="25"/>
    </row>
    <row r="990" spans="2:17" ht="16.5">
      <c r="B990" s="7"/>
      <c r="C990" s="7"/>
      <c r="D990" s="120"/>
      <c r="E990" s="39"/>
      <c r="F990" s="39"/>
      <c r="G990" s="241" t="s">
        <v>559</v>
      </c>
      <c r="H990" s="39"/>
      <c r="I990" s="242"/>
      <c r="J990" s="70"/>
      <c r="K990" s="70"/>
      <c r="L990" s="25"/>
      <c r="M990" s="25"/>
      <c r="N990" s="25"/>
      <c r="O990" s="25"/>
      <c r="P990" s="25"/>
    </row>
    <row r="991" spans="2:17" ht="16.5">
      <c r="B991" s="7"/>
      <c r="C991" s="7"/>
      <c r="D991" s="7"/>
      <c r="E991" s="39"/>
      <c r="F991" s="39"/>
      <c r="G991" s="241" t="s">
        <v>559</v>
      </c>
      <c r="H991" s="39"/>
      <c r="I991" s="242"/>
      <c r="J991" s="243"/>
      <c r="K991" s="243"/>
      <c r="L991" s="25"/>
      <c r="M991" s="25"/>
      <c r="N991" s="25"/>
      <c r="O991" s="25"/>
      <c r="P991" s="25"/>
    </row>
    <row r="992" spans="2:17" ht="16.5">
      <c r="B992" s="7"/>
      <c r="C992" s="7"/>
      <c r="D992" s="7"/>
      <c r="E992" s="39"/>
      <c r="F992" s="39"/>
      <c r="G992" s="39"/>
      <c r="H992" s="39"/>
      <c r="I992" s="244"/>
      <c r="J992" s="243"/>
      <c r="K992" s="243"/>
      <c r="L992" s="25"/>
      <c r="M992" s="25"/>
      <c r="N992" s="25"/>
      <c r="O992" s="25"/>
      <c r="P992" s="25"/>
    </row>
    <row r="993" spans="1:16" ht="16.5">
      <c r="B993" s="7"/>
      <c r="C993" s="7"/>
      <c r="D993" s="7"/>
      <c r="E993" s="39"/>
      <c r="F993" s="39"/>
      <c r="G993" s="39"/>
      <c r="H993" s="39"/>
      <c r="I993" s="244"/>
      <c r="J993" s="243"/>
      <c r="K993" s="243"/>
      <c r="L993" s="25"/>
      <c r="M993" s="25"/>
      <c r="N993" s="25"/>
      <c r="O993" s="25"/>
      <c r="P993" s="25"/>
    </row>
    <row r="994" spans="1:16" ht="16.5">
      <c r="B994" s="7"/>
      <c r="C994" s="7"/>
      <c r="D994" s="7"/>
      <c r="E994" s="39"/>
      <c r="F994" s="39"/>
      <c r="G994" s="39"/>
      <c r="H994" s="39"/>
      <c r="I994" s="244"/>
      <c r="J994" s="243"/>
      <c r="K994" s="243"/>
      <c r="L994" s="25"/>
      <c r="M994" s="25"/>
      <c r="N994" s="25"/>
      <c r="O994" s="25"/>
      <c r="P994" s="25"/>
    </row>
    <row r="995" spans="1:16" ht="16.5" customHeight="1">
      <c r="B995" s="112"/>
      <c r="C995" s="112"/>
      <c r="D995" s="112"/>
      <c r="I995" s="25"/>
      <c r="J995" s="245"/>
      <c r="K995" s="245"/>
      <c r="L995" s="25"/>
      <c r="M995" s="25"/>
      <c r="N995" s="25"/>
      <c r="O995" s="25"/>
      <c r="P995" s="25"/>
    </row>
    <row r="996" spans="1:16" ht="16.5" customHeight="1">
      <c r="B996" s="112"/>
      <c r="C996" s="112"/>
      <c r="D996" s="112"/>
      <c r="I996" s="25"/>
      <c r="J996" s="245"/>
      <c r="K996" s="245"/>
      <c r="L996" s="25"/>
      <c r="M996" s="25"/>
      <c r="N996" s="25"/>
      <c r="O996" s="25"/>
      <c r="P996" s="25"/>
    </row>
    <row r="997" spans="1:16" ht="16.5" customHeight="1">
      <c r="B997" s="112"/>
      <c r="C997" s="112"/>
      <c r="D997" s="112"/>
      <c r="I997" s="25"/>
      <c r="J997" s="245"/>
      <c r="K997" s="245"/>
      <c r="L997" s="25"/>
      <c r="M997" s="25"/>
      <c r="N997" s="25"/>
      <c r="O997" s="25"/>
      <c r="P997" s="25"/>
    </row>
    <row r="998" spans="1:16" ht="16.5" customHeight="1">
      <c r="A998" s="1" t="s">
        <v>815</v>
      </c>
      <c r="B998" s="112" t="s">
        <v>816</v>
      </c>
      <c r="C998" s="112" t="s">
        <v>817</v>
      </c>
      <c r="D998" s="112"/>
      <c r="E998" s="2" t="s">
        <v>818</v>
      </c>
      <c r="G998"/>
      <c r="H998"/>
      <c r="I998" s="25"/>
      <c r="J998" s="25"/>
      <c r="K998" s="25"/>
      <c r="L998" s="25"/>
      <c r="M998" s="25"/>
      <c r="N998" s="25"/>
      <c r="O998" s="25"/>
      <c r="P998" s="25"/>
    </row>
    <row r="999" spans="1:16" ht="16.5" customHeight="1">
      <c r="A999" s="1" t="s">
        <v>820</v>
      </c>
      <c r="B999" s="112" t="s">
        <v>821</v>
      </c>
      <c r="C999" s="112" t="s">
        <v>822</v>
      </c>
      <c r="D999" s="112"/>
      <c r="E999" s="2" t="s">
        <v>823</v>
      </c>
      <c r="G999"/>
      <c r="H999"/>
      <c r="I999" s="25"/>
      <c r="J999" s="25"/>
      <c r="K999" s="25"/>
      <c r="M999" s="25"/>
      <c r="N999" s="25"/>
      <c r="O999" s="25"/>
      <c r="P999" s="25"/>
    </row>
    <row r="1000" spans="1:16" ht="16.5" customHeight="1">
      <c r="A1000" s="1" t="s">
        <v>824</v>
      </c>
      <c r="B1000" s="112"/>
      <c r="C1000" s="112" t="s">
        <v>825</v>
      </c>
      <c r="D1000" s="112"/>
      <c r="E1000" s="2" t="s">
        <v>826</v>
      </c>
      <c r="G1000"/>
      <c r="H1000"/>
      <c r="I1000" s="25"/>
      <c r="J1000" s="25"/>
      <c r="K1000" s="25"/>
      <c r="M1000" s="25"/>
      <c r="N1000" s="25"/>
      <c r="O1000" s="25"/>
      <c r="P1000" s="25"/>
    </row>
    <row r="1001" spans="1:16" ht="16.5">
      <c r="A1001" t="s">
        <v>820</v>
      </c>
      <c r="B1001" s="7" t="s">
        <v>821</v>
      </c>
      <c r="C1001" s="7" t="s">
        <v>3</v>
      </c>
      <c r="D1001" s="7"/>
      <c r="E1001" s="39" t="s">
        <v>3</v>
      </c>
      <c r="F1001" s="39"/>
      <c r="G1001"/>
      <c r="H1001"/>
      <c r="I1001" s="24"/>
      <c r="J1001" s="25"/>
      <c r="K1001" s="25"/>
      <c r="M1001" s="25"/>
      <c r="N1001" s="25"/>
      <c r="O1001" s="25"/>
      <c r="P1001" s="25"/>
    </row>
    <row r="1002" spans="1:16" ht="15.75">
      <c r="A1002" t="s">
        <v>828</v>
      </c>
      <c r="B1002" s="7" t="s">
        <v>3</v>
      </c>
      <c r="C1002" s="7" t="s">
        <v>3</v>
      </c>
      <c r="D1002" s="7"/>
      <c r="E1002" s="40" t="s">
        <v>965</v>
      </c>
      <c r="F1002" s="40" t="s">
        <v>965</v>
      </c>
      <c r="G1002" s="44"/>
      <c r="H1002" s="44"/>
      <c r="I1002" s="42"/>
      <c r="J1002" s="43" t="s">
        <v>3</v>
      </c>
      <c r="K1002" s="42"/>
      <c r="L1002" s="44"/>
      <c r="M1002" s="42"/>
      <c r="N1002" s="25"/>
      <c r="O1002" s="25"/>
      <c r="P1002" s="25"/>
    </row>
    <row r="1003" spans="1:16" ht="15.75">
      <c r="A1003" t="s">
        <v>828</v>
      </c>
      <c r="B1003" s="7" t="s">
        <v>3</v>
      </c>
      <c r="C1003" s="7" t="s">
        <v>3</v>
      </c>
      <c r="D1003" s="7"/>
      <c r="E1003" s="40" t="s">
        <v>965</v>
      </c>
      <c r="F1003" s="40" t="s">
        <v>965</v>
      </c>
      <c r="G1003" s="44"/>
      <c r="H1003" s="44"/>
      <c r="I1003" s="42"/>
      <c r="J1003" s="43" t="s">
        <v>3</v>
      </c>
      <c r="K1003" s="42"/>
      <c r="L1003" s="44"/>
      <c r="M1003" s="42"/>
      <c r="N1003" s="25"/>
      <c r="O1003" s="25"/>
      <c r="P1003" s="25"/>
    </row>
    <row r="1004" spans="1:16" ht="15.75">
      <c r="A1004" t="s">
        <v>828</v>
      </c>
      <c r="B1004" s="7" t="s">
        <v>3</v>
      </c>
      <c r="C1004" s="7" t="s">
        <v>3</v>
      </c>
      <c r="D1004" s="7"/>
      <c r="E1004" s="40" t="s">
        <v>965</v>
      </c>
      <c r="F1004" s="40" t="s">
        <v>965</v>
      </c>
      <c r="G1004" s="44"/>
      <c r="H1004" s="44"/>
      <c r="I1004" s="42"/>
      <c r="J1004" s="43" t="s">
        <v>3</v>
      </c>
      <c r="K1004" s="42"/>
      <c r="L1004" s="42"/>
      <c r="M1004" s="42"/>
      <c r="N1004" s="25"/>
      <c r="O1004" s="25"/>
      <c r="P1004" s="25"/>
    </row>
    <row r="1005" spans="1:16" ht="16.5" customHeight="1">
      <c r="B1005" s="112"/>
      <c r="C1005" s="112"/>
      <c r="D1005" s="112"/>
      <c r="G1005"/>
      <c r="H1005"/>
      <c r="I1005" s="25"/>
      <c r="J1005" s="25"/>
      <c r="K1005" s="25"/>
      <c r="L1005" s="25"/>
      <c r="M1005" s="25"/>
      <c r="N1005" s="25"/>
      <c r="O1005" s="25"/>
      <c r="P1005" s="25"/>
    </row>
    <row r="1006" spans="1:16" ht="16.5" customHeight="1">
      <c r="B1006" s="112"/>
      <c r="C1006" s="112"/>
      <c r="D1006" s="112"/>
      <c r="I1006" s="25"/>
      <c r="J1006" s="245"/>
      <c r="K1006" s="245"/>
      <c r="L1006" s="25"/>
      <c r="M1006" s="25"/>
      <c r="N1006" s="25"/>
      <c r="O1006" s="25"/>
      <c r="P1006" s="25"/>
    </row>
    <row r="1007" spans="1:16" ht="16.5" customHeight="1">
      <c r="B1007" s="112"/>
      <c r="C1007" s="112"/>
      <c r="D1007" s="112"/>
      <c r="I1007" s="25"/>
      <c r="J1007" s="245"/>
      <c r="K1007" s="245"/>
      <c r="L1007" s="25"/>
      <c r="M1007" s="25"/>
      <c r="N1007" s="25"/>
      <c r="O1007" s="25"/>
      <c r="P1007" s="25"/>
    </row>
    <row r="1008" spans="1:16" ht="16.5" customHeight="1">
      <c r="B1008" s="112"/>
      <c r="C1008" s="112"/>
      <c r="D1008" s="112"/>
      <c r="I1008" s="25"/>
      <c r="J1008" s="245"/>
      <c r="K1008" s="245"/>
      <c r="L1008" s="25"/>
      <c r="M1008" s="25"/>
      <c r="N1008" s="25"/>
      <c r="O1008" s="25"/>
      <c r="P1008" s="25"/>
    </row>
    <row r="1009" spans="1:17" ht="16.5" customHeight="1">
      <c r="B1009" s="112"/>
      <c r="C1009" s="112"/>
      <c r="D1009" s="112"/>
      <c r="I1009" s="25"/>
      <c r="J1009" s="245"/>
      <c r="K1009" s="245"/>
      <c r="L1009" s="25"/>
      <c r="M1009" s="25"/>
      <c r="N1009" s="25"/>
      <c r="O1009" s="25"/>
      <c r="P1009" s="25"/>
    </row>
    <row r="1010" spans="1:17" ht="16.5" customHeight="1">
      <c r="B1010" s="112"/>
      <c r="C1010" s="112"/>
      <c r="D1010" s="112"/>
      <c r="I1010" s="25"/>
      <c r="J1010" s="245"/>
      <c r="K1010" s="245"/>
      <c r="L1010" s="25"/>
      <c r="M1010" s="25"/>
      <c r="N1010" s="25"/>
      <c r="O1010" s="25"/>
      <c r="P1010" s="25"/>
    </row>
    <row r="1011" spans="1:17" ht="16.5" customHeight="1">
      <c r="A1011" s="1" t="s">
        <v>815</v>
      </c>
      <c r="B1011" s="112" t="s">
        <v>816</v>
      </c>
      <c r="C1011" s="112" t="s">
        <v>817</v>
      </c>
      <c r="D1011" s="112"/>
      <c r="E1011" s="2" t="s">
        <v>818</v>
      </c>
      <c r="G1011"/>
      <c r="H1011" s="30"/>
      <c r="I1011" s="25"/>
      <c r="J1011" s="25"/>
      <c r="K1011" s="25"/>
      <c r="L1011" s="25"/>
      <c r="M1011" s="25"/>
      <c r="N1011" s="25"/>
      <c r="O1011" s="25"/>
      <c r="P1011" s="25"/>
    </row>
    <row r="1012" spans="1:17" ht="16.5" customHeight="1">
      <c r="A1012" s="1" t="s">
        <v>820</v>
      </c>
      <c r="B1012" s="112" t="s">
        <v>821</v>
      </c>
      <c r="C1012" s="112" t="s">
        <v>822</v>
      </c>
      <c r="D1012" s="112"/>
      <c r="E1012" s="2" t="s">
        <v>823</v>
      </c>
      <c r="G1012"/>
      <c r="H1012" s="30"/>
      <c r="I1012" s="25"/>
      <c r="J1012" s="25"/>
      <c r="K1012" s="25"/>
      <c r="L1012" s="25"/>
      <c r="M1012" s="25"/>
      <c r="N1012" s="25"/>
      <c r="O1012" s="25"/>
      <c r="P1012" s="25"/>
    </row>
    <row r="1013" spans="1:17" ht="16.5" customHeight="1">
      <c r="A1013" s="1" t="s">
        <v>824</v>
      </c>
      <c r="B1013" s="112"/>
      <c r="C1013" s="112" t="s">
        <v>825</v>
      </c>
      <c r="D1013" s="112"/>
      <c r="E1013" s="2" t="s">
        <v>826</v>
      </c>
      <c r="G1013"/>
      <c r="H1013" s="30"/>
      <c r="I1013" s="25"/>
      <c r="J1013" s="25"/>
      <c r="K1013" s="25"/>
      <c r="L1013" s="25"/>
      <c r="M1013" s="25"/>
      <c r="N1013" s="25"/>
      <c r="O1013" s="25"/>
      <c r="P1013" s="25"/>
    </row>
    <row r="1014" spans="1:17" ht="15.75">
      <c r="A1014" t="s">
        <v>815</v>
      </c>
      <c r="B1014" s="7" t="s">
        <v>850</v>
      </c>
      <c r="C1014" s="7" t="s">
        <v>837</v>
      </c>
      <c r="D1014" s="7"/>
      <c r="E1014" s="39" t="s">
        <v>3</v>
      </c>
      <c r="F1014" s="39"/>
      <c r="G1014"/>
      <c r="H1014" s="30"/>
      <c r="I1014" s="25"/>
      <c r="J1014" s="25"/>
      <c r="K1014" s="25"/>
      <c r="L1014" s="25"/>
      <c r="M1014" s="25"/>
      <c r="N1014" s="25"/>
      <c r="O1014" s="25"/>
      <c r="P1014" s="25"/>
    </row>
    <row r="1015" spans="1:17" ht="16.5">
      <c r="A1015" t="s">
        <v>828</v>
      </c>
      <c r="B1015" s="7"/>
      <c r="C1015" s="7"/>
      <c r="D1015" s="7"/>
      <c r="E1015" s="41" t="s">
        <v>823</v>
      </c>
      <c r="F1015" s="41" t="s">
        <v>823</v>
      </c>
      <c r="G1015" s="3"/>
      <c r="H1015" s="46"/>
      <c r="I1015" s="31"/>
      <c r="J1015" s="246"/>
      <c r="K1015" s="247"/>
      <c r="L1015" s="33"/>
      <c r="M1015" s="47"/>
      <c r="N1015" s="48"/>
      <c r="O1015" s="49"/>
      <c r="P1015" s="48"/>
      <c r="Q1015" s="3"/>
    </row>
    <row r="1016" spans="1:17" ht="16.5">
      <c r="A1016" t="s">
        <v>828</v>
      </c>
      <c r="B1016" s="7"/>
      <c r="C1016" s="7"/>
      <c r="D1016" s="7"/>
      <c r="E1016" s="41" t="s">
        <v>823</v>
      </c>
      <c r="F1016" s="41" t="s">
        <v>823</v>
      </c>
      <c r="G1016" s="3"/>
      <c r="H1016" s="46"/>
      <c r="I1016" s="31"/>
      <c r="J1016" s="246"/>
      <c r="K1016" s="247"/>
      <c r="L1016" s="33"/>
      <c r="M1016" s="47"/>
      <c r="N1016" s="48"/>
      <c r="O1016" s="49"/>
      <c r="P1016" s="48"/>
      <c r="Q1016" s="3"/>
    </row>
    <row r="1017" spans="1:17" ht="16.5">
      <c r="A1017" t="s">
        <v>828</v>
      </c>
      <c r="B1017" s="7"/>
      <c r="C1017" s="7"/>
      <c r="D1017" s="7"/>
      <c r="E1017" s="41" t="s">
        <v>823</v>
      </c>
      <c r="F1017" s="41" t="s">
        <v>823</v>
      </c>
      <c r="G1017" s="3"/>
      <c r="H1017" s="46"/>
      <c r="I1017" s="31"/>
      <c r="J1017" s="246"/>
      <c r="K1017" s="247"/>
      <c r="L1017" s="33"/>
      <c r="M1017" s="47"/>
      <c r="N1017" s="48"/>
      <c r="O1017" s="49"/>
      <c r="P1017" s="48"/>
      <c r="Q1017" s="3"/>
    </row>
    <row r="1018" spans="1:17" ht="16.5">
      <c r="A1018" t="s">
        <v>828</v>
      </c>
      <c r="B1018" s="7"/>
      <c r="C1018" s="7"/>
      <c r="D1018" s="7"/>
      <c r="E1018" s="41" t="s">
        <v>823</v>
      </c>
      <c r="F1018" s="41" t="s">
        <v>823</v>
      </c>
      <c r="G1018" s="3"/>
      <c r="H1018" s="46"/>
      <c r="I1018" s="31"/>
      <c r="J1018" s="32"/>
      <c r="K1018" s="33"/>
      <c r="L1018" s="33"/>
      <c r="M1018" s="47"/>
      <c r="N1018" s="48"/>
      <c r="O1018" s="49"/>
      <c r="P1018" s="48"/>
      <c r="Q1018" s="3"/>
    </row>
    <row r="1019" spans="1:17" ht="16.5">
      <c r="A1019" t="s">
        <v>828</v>
      </c>
      <c r="B1019" s="7"/>
      <c r="C1019" s="7"/>
      <c r="D1019" s="7"/>
      <c r="E1019" s="41" t="s">
        <v>823</v>
      </c>
      <c r="F1019" s="41" t="s">
        <v>823</v>
      </c>
      <c r="G1019" s="3"/>
      <c r="H1019" s="46"/>
      <c r="I1019" s="31"/>
      <c r="J1019" s="32"/>
      <c r="K1019" s="33"/>
      <c r="L1019" s="33"/>
      <c r="M1019" s="47"/>
      <c r="N1019" s="48"/>
      <c r="O1019" s="49"/>
      <c r="P1019" s="48"/>
      <c r="Q1019" s="3"/>
    </row>
    <row r="1020" spans="1:17" ht="16.5">
      <c r="A1020" t="s">
        <v>828</v>
      </c>
      <c r="B1020" s="7"/>
      <c r="C1020" s="7"/>
      <c r="D1020" s="7"/>
      <c r="E1020" s="41" t="s">
        <v>823</v>
      </c>
      <c r="F1020" s="41" t="s">
        <v>823</v>
      </c>
      <c r="G1020" s="3"/>
      <c r="H1020" s="46"/>
      <c r="I1020" s="31"/>
      <c r="J1020" s="33" t="s">
        <v>2519</v>
      </c>
      <c r="K1020" s="33" t="s">
        <v>2520</v>
      </c>
      <c r="L1020" s="33" t="s">
        <v>2528</v>
      </c>
      <c r="M1020" s="47"/>
      <c r="N1020" s="48"/>
      <c r="O1020" s="49"/>
      <c r="P1020" s="48"/>
      <c r="Q1020" s="3"/>
    </row>
    <row r="1021" spans="1:17" ht="16.5">
      <c r="A1021" t="s">
        <v>828</v>
      </c>
      <c r="B1021" s="7"/>
      <c r="C1021" s="7"/>
      <c r="D1021" s="7"/>
      <c r="E1021" s="41" t="s">
        <v>823</v>
      </c>
      <c r="F1021" s="41" t="s">
        <v>823</v>
      </c>
      <c r="G1021" s="3"/>
      <c r="H1021" s="46"/>
      <c r="I1021" s="3"/>
      <c r="J1021" s="248"/>
      <c r="K1021" s="59" t="s">
        <v>2521</v>
      </c>
      <c r="L1021" s="59"/>
      <c r="M1021" s="51"/>
      <c r="N1021" s="82"/>
      <c r="O1021" s="91"/>
      <c r="P1021" s="96"/>
      <c r="Q1021" s="3"/>
    </row>
    <row r="1022" spans="1:17" ht="16.5">
      <c r="A1022" t="s">
        <v>828</v>
      </c>
      <c r="B1022" s="7"/>
      <c r="C1022" s="7"/>
      <c r="D1022" s="7"/>
      <c r="E1022" s="41" t="s">
        <v>823</v>
      </c>
      <c r="F1022" s="41" t="s">
        <v>823</v>
      </c>
      <c r="G1022" s="3"/>
      <c r="H1022" s="46"/>
      <c r="I1022" s="3"/>
      <c r="J1022" s="249" t="s">
        <v>2522</v>
      </c>
      <c r="K1022" s="53" t="s">
        <v>2523</v>
      </c>
      <c r="L1022" s="54" t="s">
        <v>2529</v>
      </c>
      <c r="M1022" s="54" t="s">
        <v>2530</v>
      </c>
      <c r="N1022" s="82"/>
      <c r="O1022" s="49"/>
      <c r="P1022" s="48"/>
      <c r="Q1022" s="3"/>
    </row>
    <row r="1023" spans="1:17" ht="16.5">
      <c r="A1023" t="s">
        <v>828</v>
      </c>
      <c r="B1023" s="7"/>
      <c r="C1023" s="7"/>
      <c r="D1023" s="7"/>
      <c r="E1023" s="41" t="s">
        <v>823</v>
      </c>
      <c r="F1023" s="41" t="s">
        <v>823</v>
      </c>
      <c r="G1023" s="3"/>
      <c r="H1023" s="46"/>
      <c r="I1023" s="3"/>
      <c r="J1023" s="248" t="s">
        <v>2524</v>
      </c>
      <c r="K1023" s="250" t="s">
        <v>2525</v>
      </c>
      <c r="L1023" s="59"/>
      <c r="M1023" s="56" t="s">
        <v>2531</v>
      </c>
      <c r="N1023" s="55" t="s">
        <v>2532</v>
      </c>
      <c r="O1023" s="49"/>
      <c r="P1023" s="48"/>
      <c r="Q1023" s="3"/>
    </row>
    <row r="1024" spans="1:17" ht="16.5">
      <c r="A1024" t="s">
        <v>828</v>
      </c>
      <c r="B1024" s="7"/>
      <c r="C1024" s="7"/>
      <c r="D1024" s="7"/>
      <c r="E1024" s="41" t="s">
        <v>823</v>
      </c>
      <c r="F1024" s="41" t="s">
        <v>823</v>
      </c>
      <c r="G1024" s="3"/>
      <c r="H1024" s="46"/>
      <c r="I1024" s="3"/>
      <c r="J1024" s="248"/>
      <c r="K1024" s="59"/>
      <c r="L1024" s="59"/>
      <c r="M1024" s="51"/>
      <c r="N1024" s="82"/>
      <c r="O1024" s="49"/>
      <c r="P1024" s="48"/>
      <c r="Q1024" s="3"/>
    </row>
    <row r="1025" spans="1:17" ht="16.5">
      <c r="A1025" t="s">
        <v>828</v>
      </c>
      <c r="B1025" s="7"/>
      <c r="C1025" s="7"/>
      <c r="D1025" s="7"/>
      <c r="E1025" s="41" t="s">
        <v>823</v>
      </c>
      <c r="F1025" s="41" t="s">
        <v>823</v>
      </c>
      <c r="G1025" s="3"/>
      <c r="H1025" s="46"/>
      <c r="I1025" s="3"/>
      <c r="J1025" s="248"/>
      <c r="K1025" s="59"/>
      <c r="L1025" s="59"/>
      <c r="M1025" s="51"/>
      <c r="N1025" s="82"/>
      <c r="O1025" s="49"/>
      <c r="P1025" s="48"/>
      <c r="Q1025" s="3"/>
    </row>
    <row r="1026" spans="1:17" ht="16.5">
      <c r="A1026" t="s">
        <v>828</v>
      </c>
      <c r="B1026" s="7"/>
      <c r="C1026" s="7"/>
      <c r="D1026" s="7"/>
      <c r="E1026" s="41" t="s">
        <v>823</v>
      </c>
      <c r="F1026" s="41" t="s">
        <v>823</v>
      </c>
      <c r="G1026" s="3"/>
      <c r="H1026" s="46"/>
      <c r="I1026" s="3"/>
      <c r="J1026" s="248"/>
      <c r="K1026" s="59"/>
      <c r="L1026" s="59"/>
      <c r="M1026" s="51"/>
      <c r="N1026" s="82"/>
      <c r="O1026" s="95"/>
      <c r="P1026" s="98"/>
      <c r="Q1026" s="3"/>
    </row>
    <row r="1027" spans="1:17" ht="16.5">
      <c r="A1027" t="s">
        <v>828</v>
      </c>
      <c r="B1027" s="7"/>
      <c r="C1027" s="7"/>
      <c r="D1027" s="7"/>
      <c r="E1027" s="41" t="s">
        <v>823</v>
      </c>
      <c r="F1027" s="41" t="s">
        <v>823</v>
      </c>
      <c r="G1027" s="3"/>
      <c r="H1027" s="46"/>
      <c r="I1027" s="6"/>
      <c r="J1027" s="32"/>
      <c r="K1027" s="33"/>
      <c r="L1027" s="33"/>
      <c r="M1027" s="47"/>
      <c r="N1027" s="48"/>
      <c r="O1027" s="49"/>
      <c r="P1027" s="48"/>
      <c r="Q1027" s="3"/>
    </row>
    <row r="1028" spans="1:17" ht="16.5">
      <c r="A1028" t="s">
        <v>828</v>
      </c>
      <c r="B1028" s="7"/>
      <c r="C1028" s="7"/>
      <c r="D1028" s="7"/>
      <c r="E1028" s="41" t="s">
        <v>823</v>
      </c>
      <c r="F1028" s="41" t="s">
        <v>823</v>
      </c>
      <c r="G1028" s="3"/>
      <c r="H1028" s="46"/>
      <c r="I1028" s="6"/>
      <c r="J1028" s="32"/>
      <c r="K1028" s="33"/>
      <c r="L1028" s="33"/>
      <c r="M1028" s="47"/>
      <c r="N1028" s="48"/>
      <c r="O1028" s="49"/>
      <c r="P1028" s="48"/>
      <c r="Q1028" s="3"/>
    </row>
    <row r="1029" spans="1:17" ht="16.5">
      <c r="A1029" t="s">
        <v>828</v>
      </c>
      <c r="B1029" s="7"/>
      <c r="C1029" s="7"/>
      <c r="D1029" s="7"/>
      <c r="E1029" s="41" t="s">
        <v>823</v>
      </c>
      <c r="F1029" s="41" t="s">
        <v>823</v>
      </c>
      <c r="G1029" s="3"/>
      <c r="H1029" s="46"/>
      <c r="I1029" s="6"/>
      <c r="J1029" s="32"/>
      <c r="K1029" s="33"/>
      <c r="L1029" s="33"/>
      <c r="M1029" s="47"/>
      <c r="N1029" s="48"/>
      <c r="O1029" s="49"/>
      <c r="P1029" s="48"/>
      <c r="Q1029" s="3"/>
    </row>
    <row r="1030" spans="1:17" ht="16.5">
      <c r="A1030" t="s">
        <v>828</v>
      </c>
      <c r="B1030" s="7"/>
      <c r="C1030" s="7"/>
      <c r="D1030" s="7"/>
      <c r="E1030" s="41" t="s">
        <v>823</v>
      </c>
      <c r="F1030" s="41" t="s">
        <v>823</v>
      </c>
      <c r="G1030" s="3"/>
      <c r="H1030" s="46"/>
      <c r="I1030" s="31"/>
      <c r="J1030" s="32"/>
      <c r="K1030" s="33"/>
      <c r="L1030" s="33"/>
      <c r="M1030" s="47"/>
      <c r="N1030" s="48"/>
      <c r="O1030" s="49"/>
      <c r="P1030" s="48"/>
      <c r="Q1030" s="3"/>
    </row>
    <row r="1031" spans="1:17" ht="16.5">
      <c r="A1031" t="s">
        <v>828</v>
      </c>
      <c r="B1031" s="7"/>
      <c r="C1031" s="7"/>
      <c r="D1031" s="7"/>
      <c r="E1031" s="41" t="s">
        <v>823</v>
      </c>
      <c r="F1031" s="41" t="s">
        <v>823</v>
      </c>
      <c r="G1031" s="46"/>
      <c r="H1031" s="46"/>
      <c r="I1031" s="50"/>
      <c r="J1031" s="32"/>
      <c r="K1031" s="33"/>
      <c r="L1031" s="33"/>
      <c r="M1031" s="47"/>
      <c r="N1031" s="57"/>
      <c r="O1031" s="58"/>
      <c r="P1031" s="57"/>
      <c r="Q1031" s="3"/>
    </row>
    <row r="1032" spans="1:17" ht="16.5">
      <c r="A1032" t="s">
        <v>828</v>
      </c>
      <c r="B1032" s="7"/>
      <c r="C1032" s="7"/>
      <c r="D1032" s="7"/>
      <c r="E1032" s="41" t="s">
        <v>823</v>
      </c>
      <c r="F1032" s="41" t="s">
        <v>823</v>
      </c>
      <c r="G1032" s="3"/>
      <c r="H1032" s="46"/>
      <c r="I1032" s="50"/>
      <c r="J1032" s="32"/>
      <c r="K1032" s="33"/>
      <c r="L1032" s="33"/>
      <c r="M1032" s="47"/>
      <c r="N1032" s="48"/>
      <c r="O1032" s="49"/>
      <c r="P1032" s="48"/>
      <c r="Q1032" s="3"/>
    </row>
    <row r="1033" spans="1:17" ht="16.5">
      <c r="A1033" t="s">
        <v>828</v>
      </c>
      <c r="B1033" s="7"/>
      <c r="C1033" s="7"/>
      <c r="D1033" s="7"/>
      <c r="E1033" s="41" t="s">
        <v>823</v>
      </c>
      <c r="F1033" s="41" t="s">
        <v>823</v>
      </c>
      <c r="G1033"/>
      <c r="H1033"/>
      <c r="I1033" s="24"/>
      <c r="J1033" s="34"/>
      <c r="K1033" s="34"/>
      <c r="L1033" s="34"/>
      <c r="M1033" s="34"/>
      <c r="N1033" s="38"/>
      <c r="O1033" s="37"/>
      <c r="P1033" s="38"/>
    </row>
    <row r="1034" spans="1:17" ht="16.5">
      <c r="A1034" t="s">
        <v>828</v>
      </c>
      <c r="B1034" s="7"/>
      <c r="C1034" s="7"/>
      <c r="D1034" s="7"/>
      <c r="E1034" s="41" t="s">
        <v>823</v>
      </c>
      <c r="F1034" s="41" t="s">
        <v>823</v>
      </c>
      <c r="G1034"/>
      <c r="H1034"/>
      <c r="I1034" s="24"/>
      <c r="J1034" s="34"/>
      <c r="K1034" s="34"/>
      <c r="L1034" s="34"/>
      <c r="M1034" s="34"/>
      <c r="N1034" s="38"/>
      <c r="O1034" s="37"/>
      <c r="P1034" s="38"/>
    </row>
    <row r="1035" spans="1:17" ht="16.5">
      <c r="A1035" t="s">
        <v>828</v>
      </c>
      <c r="B1035" s="7"/>
      <c r="C1035" s="7"/>
      <c r="D1035" s="7"/>
      <c r="E1035" s="41" t="s">
        <v>823</v>
      </c>
      <c r="F1035" s="41" t="s">
        <v>823</v>
      </c>
      <c r="G1035"/>
      <c r="H1035"/>
      <c r="I1035" s="24"/>
      <c r="J1035" s="34"/>
      <c r="K1035" s="34"/>
      <c r="L1035" s="34"/>
      <c r="M1035" s="34"/>
      <c r="N1035" s="38"/>
      <c r="O1035" s="37"/>
      <c r="P1035" s="38"/>
    </row>
    <row r="1036" spans="1:17" ht="16.5">
      <c r="A1036" t="s">
        <v>828</v>
      </c>
      <c r="B1036" s="7"/>
      <c r="C1036" s="7"/>
      <c r="D1036" s="7"/>
      <c r="E1036" s="41" t="s">
        <v>823</v>
      </c>
      <c r="F1036" s="41" t="s">
        <v>823</v>
      </c>
      <c r="G1036"/>
      <c r="H1036"/>
      <c r="I1036" s="24"/>
      <c r="J1036" s="34"/>
      <c r="K1036" s="34"/>
      <c r="L1036" s="34"/>
      <c r="M1036" s="34"/>
      <c r="N1036" s="38"/>
      <c r="O1036" s="37"/>
      <c r="P1036" s="38"/>
    </row>
    <row r="1037" spans="1:17" ht="16.5">
      <c r="A1037" t="s">
        <v>828</v>
      </c>
      <c r="B1037" s="7"/>
      <c r="C1037" s="7"/>
      <c r="D1037" s="7"/>
      <c r="E1037" s="41" t="s">
        <v>823</v>
      </c>
      <c r="F1037" s="41" t="s">
        <v>823</v>
      </c>
      <c r="G1037"/>
      <c r="H1037"/>
      <c r="I1037" s="24"/>
      <c r="J1037" s="34"/>
      <c r="K1037" s="34"/>
      <c r="L1037" s="34"/>
      <c r="M1037" s="34"/>
      <c r="N1037" s="89"/>
      <c r="O1037" s="37"/>
      <c r="P1037" s="38"/>
    </row>
    <row r="1038" spans="1:17" ht="16.5">
      <c r="A1038" t="s">
        <v>828</v>
      </c>
      <c r="B1038" s="7"/>
      <c r="C1038" s="7"/>
      <c r="D1038" s="7"/>
      <c r="E1038" s="41" t="s">
        <v>823</v>
      </c>
      <c r="F1038" s="41" t="s">
        <v>823</v>
      </c>
      <c r="G1038"/>
      <c r="H1038"/>
      <c r="I1038" s="24"/>
      <c r="J1038" s="34"/>
      <c r="K1038" s="34"/>
      <c r="L1038" s="34"/>
      <c r="M1038" s="34"/>
      <c r="N1038" s="38"/>
      <c r="O1038" s="37"/>
      <c r="P1038" s="38"/>
    </row>
    <row r="1039" spans="1:17" ht="15.75">
      <c r="A1039" t="s">
        <v>828</v>
      </c>
      <c r="B1039" s="7"/>
      <c r="C1039" s="7"/>
      <c r="D1039" s="7"/>
      <c r="E1039" s="41" t="s">
        <v>823</v>
      </c>
      <c r="F1039" s="41" t="s">
        <v>823</v>
      </c>
      <c r="G1039"/>
      <c r="H1039"/>
      <c r="J1039"/>
      <c r="K1039"/>
    </row>
    <row r="1040" spans="1:17">
      <c r="G1040"/>
      <c r="H1040"/>
      <c r="J1040"/>
      <c r="K1040"/>
    </row>
    <row r="1041" spans="7:11">
      <c r="G1041"/>
      <c r="H1041"/>
      <c r="J1041"/>
      <c r="K1041"/>
    </row>
    <row r="1042" spans="7:11">
      <c r="G1042"/>
      <c r="H1042"/>
      <c r="J1042"/>
      <c r="K1042"/>
    </row>
  </sheetData>
  <autoFilter ref="A57:Q587" xr:uid="{DE943EF4-5C54-4D4D-8E3A-CF3C6D213917}">
    <filterColumn colId="8">
      <colorFilter dxfId="0"/>
    </filterColumn>
  </autoFilter>
  <sortState xmlns:xlrd2="http://schemas.microsoft.com/office/spreadsheetml/2017/richdata2" ref="A4:W691">
    <sortCondition ref="I4:I691"/>
  </sortState>
  <phoneticPr fontId="62" type="noConversion"/>
  <hyperlinks>
    <hyperlink ref="J544" r:id="rId1" xr:uid="{C71D5BFB-1918-4795-84CA-A93F00091C01}"/>
    <hyperlink ref="J199" r:id="rId2" display="mailto:kabobsir@yahoo.com" xr:uid="{2D5E7165-A1ED-4E39-8A4B-DA8F263160D7}"/>
    <hyperlink ref="K117" r:id="rId3" display="tel:+17182562933" xr:uid="{D7E51CA4-ABFB-4456-97C6-981C76DBB70A}"/>
    <hyperlink ref="J5" r:id="rId4" display="mailto:james@2ndtononedistribution.com" xr:uid="{57AC3270-B699-4C18-BFC3-631D081490E7}"/>
    <hyperlink ref="K5" r:id="rId5" display="tel:+19292844325" xr:uid="{26928029-E317-41F2-A206-503B6824E366}"/>
    <hyperlink ref="K337" r:id="rId6" xr:uid="{E2CFB973-AD83-4DE7-821C-525AF6E89CF0}"/>
    <hyperlink ref="K6" r:id="rId7" display="tel:+12013199112" xr:uid="{10E8202F-8B5C-4505-BC90-FB8CB652451A}"/>
    <hyperlink ref="K358" r:id="rId8" xr:uid="{8667B99C-89B2-48D2-94F6-A530F7A635E9}"/>
    <hyperlink ref="K548" r:id="rId9" xr:uid="{23D10323-338D-475D-9266-0F1CAC574A83}"/>
    <hyperlink ref="K247" r:id="rId10" xr:uid="{F8ADA630-6140-40DD-872A-25B2A7C5FF41}"/>
    <hyperlink ref="J573" r:id="rId11" xr:uid="{1787355E-9623-42F7-850D-8B4EA4A0B7AD}"/>
    <hyperlink ref="J529" r:id="rId12" xr:uid="{43BB8243-44A2-4FB0-A173-69D76EDACA18}"/>
    <hyperlink ref="K463" r:id="rId13" xr:uid="{B5042427-21B0-4F5A-ACFC-133645DDE0E7}"/>
    <hyperlink ref="J583" r:id="rId14" display="mailto:singhfarm101@gmail.com" xr:uid="{80AF7457-8BFA-4892-8415-60FE0BB3847A}"/>
    <hyperlink ref="K537" r:id="rId15" display="tel:+17322521044" xr:uid="{7490713D-466F-4679-8491-BE3685419D66}"/>
    <hyperlink ref="K157" r:id="rId16" xr:uid="{B6FC5D0D-A3BF-465E-B2A7-FE6080FFFF32}"/>
    <hyperlink ref="K152" r:id="rId17" xr:uid="{E103E708-25E4-48F0-9D69-63D21D948486}"/>
    <hyperlink ref="J115" r:id="rId18" xr:uid="{1E20742E-6754-4C29-A244-AF94B64EB5CD}"/>
    <hyperlink ref="J600" r:id="rId19" xr:uid="{41E43AEA-6B41-4208-A914-3B9193C5BB83}"/>
    <hyperlink ref="J673" r:id="rId20" display="mailto:Lemlem@workineshspice.com" xr:uid="{CFF38F7C-EF8C-4746-A7F3-3E93DA89E0AD}"/>
    <hyperlink ref="K386" r:id="rId21" display="tel:+13476637763" xr:uid="{CAFC9B0A-33AE-414C-B563-CC36113079B8}"/>
    <hyperlink ref="I651" r:id="rId22" display="https://www.bing.com/ck/a?!&amp;&amp;p=51ce053b441f1314JmltdHM9MTY3NjUwNTYwMCZpZ3VpZD0yMWZiOGMyMi1iNGVjLTY1YjAtMDBiYi05ZTQyYjU2MzY0NTMmaW5zaWQ9NTU1Ng&amp;ptn=3&amp;hsh=3&amp;fclid=21fb8c22-b4ec-65b0-00bb-9e42b5636453&amp;psq=valente+bakery+supply&amp;u=a1aHR0cHM6Ly93d3cudmFsZW50ZWJha2VyeXN1cHBsaWVzLmNvbS8&amp;ntb=1" xr:uid="{956BC60F-28F5-4F56-9F71-0CCAE7A7C572}"/>
    <hyperlink ref="I423" r:id="rId23" display="https://www.bing.com/ck/a?!&amp;&amp;p=cf9a578619bec6fcJmltdHM9MTY3NjUwNTYwMCZpZ3VpZD0yMWZiOGMyMi1iNGVjLTY1YjAtMDBiYi05ZTQyYjU2MzY0NTMmaW5zaWQ9NTQ1MA&amp;ptn=3&amp;hsh=3&amp;fclid=21fb8c22-b4ec-65b0-00bb-9e42b5636453&amp;psq=maximum+quality+foods+linden+nj&amp;u=a1aHR0cDovL3d3dy5tYXhpbXVtcXVhbGl0eWZvb2RzLmNvbS8&amp;ntb=1" xr:uid="{3862FEAC-225C-4A6E-8816-E90585DDDA15}"/>
    <hyperlink ref="K423" r:id="rId24" display="https://www.bing.com/ck/a?!&amp;&amp;p=93ccae533c4a6403JmltdHM9MTY3NjUwNTYwMCZpZ3VpZD0yMWZiOGMyMi1iNGVjLTY1YjAtMDBiYi05ZTQyYjU2MzY0NTMmaW5zaWQ9NTQ1Mg&amp;ptn=3&amp;hsh=3&amp;fclid=21fb8c22-b4ec-65b0-00bb-9e42b5636453&amp;psq=maximum+quality+foods+linden+nj&amp;u=a1dGVsOjkwODQ3NDAwMDM&amp;ntb=1" xr:uid="{37820980-F79E-43CB-86C4-C9682E7257A5}"/>
    <hyperlink ref="K437" r:id="rId25" display="tel:+16127816596" xr:uid="{C0B52AB1-C110-455D-8B72-6B025E76854B}"/>
    <hyperlink ref="K411" r:id="rId26" display="tel:+12015697606" xr:uid="{13725750-BAF8-4A8F-A183-46AA8BD27F9A}"/>
    <hyperlink ref="I590" r:id="rId27" display="https://www.bing.com/ck/a?!&amp;&amp;p=763ce8a80df33c66JmltdHM9MTY3NjU5MjAwMCZpZ3VpZD0yMWZiOGMyMi1iNGVjLTY1YjAtMDBiYi05ZTQyYjU2MzY0NTMmaW5zaWQ9NTQ0MQ&amp;ptn=3&amp;hsh=3&amp;fclid=21fb8c22-b4ec-65b0-00bb-9e42b5636453&amp;psq=west+side+supermarket+of+huntington&amp;u=a1aHR0cHM6Ly9zb3V0aGRvd25tYXJrZXRwbGFjZS5jb20v&amp;ntb=1" xr:uid="{D434EB16-0D0A-4260-B02B-7A12167C00E1}"/>
    <hyperlink ref="K590" r:id="rId28" display="https://www.bing.com/ck/a?!&amp;&amp;p=36dced20a197abc2JmltdHM9MTY3NjU5MjAwMCZpZ3VpZD0yMWZiOGMyMi1iNGVjLTY1YjAtMDBiYi05ZTQyYjU2MzY0NTMmaW5zaWQ9NTQ0Mw&amp;ptn=3&amp;hsh=3&amp;fclid=21fb8c22-b4ec-65b0-00bb-9e42b5636453&amp;psq=west+side+supermarket+of+huntington&amp;u=a1dGVsOjYzMTM1MTk2NjA&amp;ntb=1" xr:uid="{FD2D4B6C-B09B-4233-B3BC-364EC5C17A07}"/>
    <hyperlink ref="I630" r:id="rId29" display="https://www.bing.com/ck/a?!&amp;&amp;p=ce40bc243291afc7JmltdHM9MTY3Njg1MTIwMCZpZ3VpZD0yMWZiOGMyMi1iNGVjLTY1YjAtMDBiYi05ZTQyYjU2MzY0NTMmaW5zaWQ9NTQ5OQ&amp;ptn=3&amp;hsh=3&amp;fclid=21fb8c22-b4ec-65b0-00bb-9e42b5636453&amp;psq=3+guys+from+brooklyn&amp;u=a1aHR0cHM6Ly93d3cuM2d1eXNmcm9tYnJvb2tseW4uY29tLw&amp;ntb=1" xr:uid="{A5DFF29B-9A3A-4967-9E5A-E334600A8722}"/>
    <hyperlink ref="K630" r:id="rId30" display="https://www.bing.com/ck/a?!&amp;&amp;p=c72ca354a0fb11abJmltdHM9MTY3Njg1MTIwMCZpZ3VpZD0yMWZiOGMyMi1iNGVjLTY1YjAtMDBiYi05ZTQyYjU2MzY0NTMmaW5zaWQ9NTUxMw&amp;ptn=3&amp;hsh=3&amp;fclid=21fb8c22-b4ec-65b0-00bb-9e42b5636453&amp;psq=3+guys+from+brooklyn&amp;u=a1dGVsOjcxODc0ODgzNDA&amp;ntb=1" xr:uid="{66A011A1-93E2-45C5-8275-92CA01CBD354}"/>
    <hyperlink ref="J169" r:id="rId31" display="mailto:akhilnt@gochetak.com" xr:uid="{67D7ED22-F937-4D59-923B-F845495746EC}"/>
    <hyperlink ref="J699" r:id="rId32" display="mailto:gina@auntbutchies.com" xr:uid="{EADC88E1-5945-46EE-AE14-0DC209C9B2AB}"/>
    <hyperlink ref="K473" r:id="rId33" xr:uid="{2536DEA9-ACD4-4C43-965E-39709BB59915}"/>
    <hyperlink ref="J218" r:id="rId34" display="mailto:info@familyofnuts.com" xr:uid="{84A7A6F1-762D-463C-BA0C-C48CFC85E979}"/>
    <hyperlink ref="J68" r:id="rId35" xr:uid="{B48F23DA-66D4-49B6-8A0F-B765CC15ED0B}"/>
    <hyperlink ref="J144" r:id="rId36" xr:uid="{C07331BC-1BB5-47AE-9A9F-EDCBB4F2BD57}"/>
    <hyperlink ref="J12" r:id="rId37" display="mailto:abrahamshummos@gmail.com" xr:uid="{120EB117-2E54-4563-9773-96183248B4D7}"/>
    <hyperlink ref="J31" r:id="rId38" xr:uid="{CE2CFA4A-E30D-46E6-884F-B10771793E68}"/>
    <hyperlink ref="J27" r:id="rId39" xr:uid="{895A0AD0-4E31-4BA5-9D1B-0828E640E143}"/>
    <hyperlink ref="J458" r:id="rId40" display="mailto:aneri@neribake.com" xr:uid="{606E257A-FAD1-44F8-8267-749C94CC05D4}"/>
    <hyperlink ref="J367" r:id="rId41" xr:uid="{076A8F6A-2FEE-4558-977B-070543E66FF0}"/>
    <hyperlink ref="J183" r:id="rId42" xr:uid="{EE4CC0A4-AC66-4110-A8F1-E8936340C224}"/>
    <hyperlink ref="J452" r:id="rId43" xr:uid="{EB12DB78-68C2-4E22-91AD-9F55AF483458}"/>
    <hyperlink ref="J402" r:id="rId44" xr:uid="{CEBC5AED-B629-47D6-B819-0AD016697F95}"/>
    <hyperlink ref="J275" r:id="rId45" xr:uid="{EB838BF0-B105-4B28-AE9E-E8FEDC72A345}"/>
    <hyperlink ref="J614" r:id="rId46" xr:uid="{C00E41D7-CABA-436E-9EEC-3E95BFF4B846}"/>
    <hyperlink ref="J111" r:id="rId47" xr:uid="{105786E0-97C1-4C1A-8F85-E066EAE77A0B}"/>
    <hyperlink ref="J382" r:id="rId48" xr:uid="{5377DEAC-DFAE-4AA1-87A6-9277F1E38488}"/>
    <hyperlink ref="J329" r:id="rId49" xr:uid="{AF0666B4-9FD9-4ABD-84F0-BA1224A01D7E}"/>
    <hyperlink ref="J80" r:id="rId50" xr:uid="{3A655EA0-D017-4600-B2AE-52FFE058D3A9}"/>
    <hyperlink ref="J695" r:id="rId51" xr:uid="{C53B14BF-4E9E-464D-81A0-D202E51C8F7B}"/>
    <hyperlink ref="J271" r:id="rId52" xr:uid="{6029702E-2489-4A25-BC68-CEF4273CE1CA}"/>
    <hyperlink ref="J617" r:id="rId53" xr:uid="{03390E7C-C2FB-4570-B902-88E0E5A070FB}"/>
    <hyperlink ref="J636" r:id="rId54" display="mailto:Demos@titanfoods.net" xr:uid="{D451B580-C92D-4A7C-B579-DD8DCDD10643}"/>
    <hyperlink ref="J141" r:id="rId55" display="mailto:alex@citadelfoods.com" xr:uid="{3A745E53-BDEB-481B-84AC-910C68AA9044}"/>
    <hyperlink ref="J906" r:id="rId56" xr:uid="{CBD4F8EB-EE7E-4802-B85F-228CB1AA28D4}"/>
    <hyperlink ref="J677" r:id="rId57" xr:uid="{49B74372-AD68-4167-ADEC-EB5358EEEECC}"/>
    <hyperlink ref="J513" r:id="rId58" xr:uid="{C358DC2B-9C16-4DD4-9463-E881F683CB3B}"/>
    <hyperlink ref="J82" r:id="rId59" xr:uid="{22509E8F-ABE6-466F-B0FB-4A97A40FCB89}"/>
    <hyperlink ref="J604" r:id="rId60" xr:uid="{7FEDDBAA-74D0-4338-9647-A00C3CFA2B5E}"/>
    <hyperlink ref="J400" r:id="rId61" xr:uid="{B3A038CC-0C62-404D-8F26-D78B4B84BC31}"/>
    <hyperlink ref="J944" r:id="rId62" xr:uid="{AC1AD56E-9137-424C-B494-11FC548FC685}"/>
    <hyperlink ref="J689" r:id="rId63" xr:uid="{E12B5131-0DC4-4625-9F46-E0C1413DFA06}"/>
    <hyperlink ref="J96" r:id="rId64" xr:uid="{2C82975B-0ADF-4F1E-B554-F9A0949885A7}"/>
    <hyperlink ref="J398" r:id="rId65" xr:uid="{FD82AEFB-78E9-452F-9B98-754F1B457705}"/>
    <hyperlink ref="J420" r:id="rId66" xr:uid="{DB87D75C-B645-4A5D-BDDD-1567424A31AF}"/>
    <hyperlink ref="K770" r:id="rId67" xr:uid="{E32F18C8-3246-40BF-929A-D54EDF049050}"/>
    <hyperlink ref="K374" r:id="rId68" xr:uid="{2B73383F-42A5-43DF-8278-47A8E749AF81}"/>
    <hyperlink ref="K299" r:id="rId69" xr:uid="{D0C935C4-CDDE-457C-A4F8-C5E2E6FDCECE}"/>
    <hyperlink ref="J578" r:id="rId70" xr:uid="{6F1C36A1-1502-4174-9973-52FFFA40D60A}"/>
    <hyperlink ref="J361" r:id="rId71" xr:uid="{07BD8972-A0A3-4DE2-8C19-F7A4A0F50C8F}"/>
    <hyperlink ref="J645" r:id="rId72" display="mailto:ulgices123@gmail.com" xr:uid="{9EE266D6-BBC6-45D5-9DF9-AB3511F28A5B}"/>
    <hyperlink ref="J325" r:id="rId73" xr:uid="{4AEEC3D5-19F8-4696-9259-D4C77A455AFA}"/>
    <hyperlink ref="I461" r:id="rId74" display="mailto:info@gittofoods.com" xr:uid="{99F23718-B5B7-4ABC-BC20-7FF5111E164C}"/>
    <hyperlink ref="J364" r:id="rId75" xr:uid="{03F22578-62AE-465B-A4B2-7E026720C255}"/>
    <hyperlink ref="J568" r:id="rId76" xr:uid="{F8E422C0-45B9-4D12-AB46-B6DC9BF31C25}"/>
    <hyperlink ref="J26" r:id="rId77" xr:uid="{0BB45E5B-D9DE-4F93-AD0A-65EF9CDE5D34}"/>
    <hyperlink ref="J490" r:id="rId78" xr:uid="{6AEC5919-015A-4C7C-8BB2-C96DA08641DE}"/>
    <hyperlink ref="J735" r:id="rId79" xr:uid="{F76093C5-997E-4168-9A36-0ED3770DCE74}"/>
    <hyperlink ref="J538" r:id="rId80" xr:uid="{5771F67D-C440-4FC0-A707-4312FAB52844}"/>
    <hyperlink ref="J95" r:id="rId81" xr:uid="{CAAF2824-DF00-406E-8777-9BD9966C5442}"/>
    <hyperlink ref="J40" r:id="rId82" xr:uid="{CD5AB7B4-01EE-4E8A-9CD2-C1C6D7C4FBD1}"/>
    <hyperlink ref="K644" r:id="rId83" xr:uid="{365B116D-330B-43D7-894A-6C624CCE988B}"/>
    <hyperlink ref="J378" r:id="rId84" xr:uid="{A8220DC8-02C9-46B9-B472-6E5FB4D9EA39}"/>
    <hyperlink ref="J350" r:id="rId85" xr:uid="{3DC5CFEB-8E7A-4DA0-A21A-0085136F56EF}"/>
    <hyperlink ref="J61" r:id="rId86" xr:uid="{4D1EB9C5-4AC3-4917-AAC4-9282776121F1}"/>
    <hyperlink ref="J46" r:id="rId87" xr:uid="{388568EC-CAD8-4426-B02C-955F9BAA20FB}"/>
    <hyperlink ref="J349" r:id="rId88" xr:uid="{FC1D34EE-93F3-42C9-8418-151AA5A9FC2A}"/>
    <hyperlink ref="K568" r:id="rId89" xr:uid="{B933AE7E-C546-4C34-A7A6-EBE9EF489AEE}"/>
    <hyperlink ref="K238" r:id="rId90" xr:uid="{EE3367A2-FA43-4E5F-BA2B-DB32DCD9C7CD}"/>
    <hyperlink ref="K84" r:id="rId91" xr:uid="{8F427AEB-7FEC-44FF-99E9-22D9E0290185}"/>
    <hyperlink ref="K393" r:id="rId92" xr:uid="{B2AB5E60-49C1-44FA-BE87-45F01A229F4E}"/>
    <hyperlink ref="J623" r:id="rId93" xr:uid="{070967D1-2EE9-4F93-8B85-63CB4FDFDBF9}"/>
    <hyperlink ref="J226" r:id="rId94" xr:uid="{D340CAD5-E008-4879-9F9E-C935E982AB61}"/>
    <hyperlink ref="I717" r:id="rId95" xr:uid="{4894DD0D-F243-42B9-A7D0-FF70C8E614DB}"/>
    <hyperlink ref="J510" r:id="rId96" xr:uid="{22C13B24-FDA3-472F-B807-4941DF370B4D}"/>
    <hyperlink ref="J684" r:id="rId97" xr:uid="{2FD6943B-BA4B-43E9-82BC-973593079DB9}"/>
    <hyperlink ref="K498" r:id="rId98" display="tel:+17182725400" xr:uid="{6999DF06-0CE3-4B05-93BA-9EB50EF242B1}"/>
    <hyperlink ref="J389" r:id="rId99" xr:uid="{855D1BA0-9730-404B-92CB-B143883A2E41}"/>
    <hyperlink ref="J680" r:id="rId100" xr:uid="{FFA8D6FB-426F-4E09-B3E8-AC5FC35F2684}"/>
    <hyperlink ref="J180" r:id="rId101" xr:uid="{0B5D83D8-501F-46CF-8CB9-8E61D6509A3B}"/>
    <hyperlink ref="J310" r:id="rId102" xr:uid="{9DA8E373-54BC-4D0A-A084-EA02667411FE}"/>
    <hyperlink ref="K879" r:id="rId103" tooltip="blocked::tel:+971" display="tel:+971" xr:uid="{44414C68-17DF-44DC-A4B8-F2843D2FD6AE}"/>
    <hyperlink ref="J294" r:id="rId104" xr:uid="{BD1C346C-9EFA-466F-BC82-22841368F75F}"/>
    <hyperlink ref="J174" r:id="rId105" xr:uid="{9EBE291F-701E-410E-B542-A8EABA333134}"/>
    <hyperlink ref="M174" r:id="rId106" xr:uid="{15AAE1F1-DBDB-4BD5-8A30-ACFE629F6C5E}"/>
    <hyperlink ref="J298" r:id="rId107" xr:uid="{15DA4FEE-3FE7-42B9-AF5B-90614E1D3100}"/>
    <hyperlink ref="K591" r:id="rId108" xr:uid="{94F83922-1137-4D60-9C6E-7CC536C09496}"/>
    <hyperlink ref="J204" r:id="rId109" xr:uid="{4AE79904-5CC2-4DFE-AEB0-4E734EE7ACDA}"/>
    <hyperlink ref="J517" r:id="rId110" xr:uid="{3A739B67-A8BC-4633-A93F-B86A356FF69A}"/>
    <hyperlink ref="J809" r:id="rId111" xr:uid="{7647888D-770C-4819-BB7B-98634115AEF8}"/>
    <hyperlink ref="J182" r:id="rId112" xr:uid="{D287DEA1-47A4-4AF1-8ABA-71B87EDF338B}"/>
    <hyperlink ref="J14" r:id="rId113" xr:uid="{5C7FEC49-420E-42C0-BFE6-62EB456B70C3}"/>
    <hyperlink ref="K111" r:id="rId114" xr:uid="{EB88A589-3152-4622-93E8-2844B87B6FAE}"/>
    <hyperlink ref="K804" r:id="rId115" xr:uid="{FADF77E0-06B7-4447-9C85-DE1DEECE92CC}"/>
    <hyperlink ref="J345" r:id="rId116" xr:uid="{64201D34-42AA-4271-9F4F-78668634EA6E}"/>
    <hyperlink ref="J566" r:id="rId117" xr:uid="{B5D73BA0-0968-4BC1-BA8C-CFFD3B9978C0}"/>
    <hyperlink ref="J284" r:id="rId118" xr:uid="{26168248-B013-4F44-B29A-8D53C25AAB69}"/>
    <hyperlink ref="J501" r:id="rId119" display="n.stevnson@parisgourmet.com" xr:uid="{B02731F4-1F46-403E-B771-EA325C3AD8F0}"/>
    <hyperlink ref="J664" r:id="rId120" xr:uid="{A9DCBA34-F86A-469B-B3ED-A6F95BE4DBAC}"/>
    <hyperlink ref="J849" r:id="rId121" xr:uid="{2FCDA854-96FC-4803-AC36-F528C961C57A}"/>
    <hyperlink ref="J297" r:id="rId122" xr:uid="{8720B994-5A24-4A64-8AA6-F95C7F10FB55}"/>
    <hyperlink ref="J521" r:id="rId123" xr:uid="{52B71B04-6B70-4EEB-8623-E16E9423F820}"/>
    <hyperlink ref="J471" r:id="rId124" xr:uid="{F409E956-8977-4A0E-9F58-2D4A23DBF712}"/>
    <hyperlink ref="K405" r:id="rId125" xr:uid="{C21E02F5-6BDD-4543-8328-7CA72037CDCF}"/>
    <hyperlink ref="K543" r:id="rId126" xr:uid="{19DA761E-C725-4142-9453-4C2EB171ED8F}"/>
    <hyperlink ref="J344" r:id="rId127" xr:uid="{0A22CC21-3058-43AC-96F0-2724BEC0B20E}"/>
    <hyperlink ref="J148" r:id="rId128" xr:uid="{3F559472-D501-4368-89B7-06466594027A}"/>
    <hyperlink ref="K123" r:id="rId129" xr:uid="{AECEE9ED-21ED-4A1E-BD9F-3EDAAE53D4F0}"/>
    <hyperlink ref="J607" r:id="rId130" xr:uid="{43480A53-E873-4448-BA90-DD2ACCD449EA}"/>
    <hyperlink ref="J726" r:id="rId131" xr:uid="{789FE0C0-9BAA-4588-A392-E2294BDD3E9B}"/>
    <hyperlink ref="K107" r:id="rId132" xr:uid="{B8B6062D-7012-409D-AFB2-E5520D122359}"/>
    <hyperlink ref="J170" r:id="rId133" display="mailto:dess78@aol.com" xr:uid="{C8D809A9-D025-4107-A77E-D92FE6AF2389}"/>
    <hyperlink ref="K170" r:id="rId134" display="tel:+17183696699" xr:uid="{2FEA5E5E-68CD-4465-8B8A-60B7E751304A}"/>
    <hyperlink ref="J273" r:id="rId135" display="mailto:naser2019@gmail.com" xr:uid="{41D7AD0D-E544-4484-A1CC-F5C98839CB77}"/>
    <hyperlink ref="J110" r:id="rId136" xr:uid="{5170AD43-4585-4032-BA73-4DB6BF13F2AE}"/>
    <hyperlink ref="J589" r:id="rId137" xr:uid="{8139DAED-6C80-42F4-AA88-FFDD91BB5329}"/>
    <hyperlink ref="J18" r:id="rId138" xr:uid="{0E365310-D82D-471C-82C9-4122992FA8E0}"/>
    <hyperlink ref="J599" r:id="rId139" xr:uid="{B288628C-1141-43F3-8F18-D595A4CE782C}"/>
    <hyperlink ref="J690" r:id="rId140" xr:uid="{6467C42B-A4F4-459C-B0BA-6D7B05B9ADE0}"/>
    <hyperlink ref="J45" r:id="rId141" xr:uid="{C8E8E029-A968-4866-8A56-17B0E8B6B036}"/>
    <hyperlink ref="J500" r:id="rId142" xr:uid="{2E3FC1C5-CAAE-4FA3-8AD5-E43E258C886C}"/>
    <hyperlink ref="J52" r:id="rId143" xr:uid="{EBC91708-64EF-42B2-8E13-5EC742EC5942}"/>
    <hyperlink ref="J422" r:id="rId144" xr:uid="{287D608D-3A30-4245-954C-9A95A8C7AC8D}"/>
    <hyperlink ref="I716" r:id="rId145" xr:uid="{B4D2A105-50A5-4949-8D5F-8E2E8CE6742B}"/>
    <hyperlink ref="J560" r:id="rId146" xr:uid="{A134F19E-F29B-441E-8C39-47CADAAC999C}"/>
    <hyperlink ref="K760" r:id="rId147" xr:uid="{8849628D-88B9-430B-B1C6-F18C3EE9B242}"/>
    <hyperlink ref="K218" r:id="rId148" xr:uid="{1CE471BC-45F6-427B-B4A5-318289A5E6E9}"/>
    <hyperlink ref="K729" r:id="rId149" xr:uid="{AF2519E5-94C9-4B15-94CE-460A5680433F}"/>
    <hyperlink ref="J114" r:id="rId150" xr:uid="{510D1D8E-E8DC-4E50-B4E6-48AC28364385}"/>
    <hyperlink ref="J97" r:id="rId151" xr:uid="{8F745770-42BE-42BE-A2E1-0133E79B486E}"/>
    <hyperlink ref="J230" r:id="rId152" xr:uid="{EC400734-AD35-41BE-8347-2A99140C28B7}"/>
    <hyperlink ref="J394" r:id="rId153" xr:uid="{D6D85D1F-8C82-490F-A763-A98218446F6D}"/>
    <hyperlink ref="J516" r:id="rId154" xr:uid="{5D327873-84F2-4673-B79F-89534E773598}"/>
    <hyperlink ref="J535" r:id="rId155" xr:uid="{51AD6F10-6053-444B-9C6C-7A1D43A2D876}"/>
    <hyperlink ref="J162" r:id="rId156" xr:uid="{3B3370D0-FD1C-47E4-A287-36DE2278456E}"/>
    <hyperlink ref="J584" r:id="rId157" xr:uid="{EB483766-98BD-45DB-BF06-C7F9940FB4C9}"/>
    <hyperlink ref="J371" r:id="rId158" xr:uid="{E51908F1-043C-462B-A55D-5A8E11FC7027}"/>
    <hyperlink ref="J234" r:id="rId159" xr:uid="{A47DB6A1-A363-46BE-9AA6-5E6B83521C42}"/>
    <hyperlink ref="J35" r:id="rId160" xr:uid="{B0D7239E-9411-4D6C-8079-87622F178ED2}"/>
    <hyperlink ref="J443" r:id="rId161" display="mailto:fardcandy@gmail.com" xr:uid="{D50D3AC6-4A29-4E87-8BCE-97C4206854F8}"/>
    <hyperlink ref="J277" r:id="rId162" display="mailto:gourmetbake@hotmail.com" xr:uid="{20368600-F56B-41F4-9B26-BE8B78547B05}"/>
    <hyperlink ref="J272" r:id="rId163" display="mailto:naser2019@gmail.com" xr:uid="{E6B1AB7B-3186-4197-B134-E847E3BB66F1}"/>
    <hyperlink ref="K259" r:id="rId164" display="mailto:raywholesale@hotmail.com" xr:uid="{3D2218A4-CDAF-4FD3-9CDC-62F5592A8B04}"/>
    <hyperlink ref="K459" r:id="rId165" xr:uid="{D891BAB1-8CCF-4F81-8927-DA9183D6DA20}"/>
    <hyperlink ref="J685" r:id="rId166" xr:uid="{50709D30-CDF9-45F5-97E4-2D52775FB8C3}"/>
    <hyperlink ref="L547" r:id="rId167" xr:uid="{8586A174-A405-4D40-B28B-B00C24555B9D}"/>
    <hyperlink ref="J323" r:id="rId168" xr:uid="{C7D1C432-C34F-4E47-BCBF-9617792D5EB1}"/>
    <hyperlink ref="J656" r:id="rId169" xr:uid="{E329DEAE-57A2-4F8F-9402-A315DEDFA7D0}"/>
    <hyperlink ref="M627" r:id="rId170" display="https://maps.google.com/maps?q=608%20Georges%20Rd%20N%20Brunswick%20NJ%2008902&amp;hl=en&amp;authuser=0" xr:uid="{CFDEBE5C-E880-4EDC-8197-31F2D23CE160}"/>
    <hyperlink ref="M383" r:id="rId171" display="https://maps.google.com/maps?q=104-05%20Metropolitan%20Ave%2C%20Forest%20Hills%2C%20NY%2011375&amp;hl=en&amp;authuser=0" xr:uid="{632B6518-AC7A-4424-B013-714F9A98A9F2}"/>
    <hyperlink ref="N383" r:id="rId172" display="https://maps.google.com/maps?q=104-05%20Metropolitan%20Ave%2C%20Forest%20Hills%2C%20NY%2011375&amp;hl=en&amp;authuser=0" xr:uid="{0D9E9598-AAB5-45B5-AC92-E3BAE00B5726}"/>
    <hyperlink ref="M429" r:id="rId173" display="https://maps.google.com/maps?q=700%20Myrtle%20Ave.%20NY%20Brooklyn%2011205&amp;hl=en&amp;authuser=0" xr:uid="{72DD5AD6-0C7C-43C3-9604-3528EB5045BD}"/>
    <hyperlink ref="M530" r:id="rId174" display="https://maps.google.com/maps?q=2030%20Ocean%20Pkwy%20NY%20Brooklyn%2011223&amp;hl=en&amp;authuser=0" xr:uid="{BABD43B1-9A39-4FEA-B44A-8A6A70A32D4F}"/>
    <hyperlink ref="K530" r:id="rId175" display="tel:+17183360300" xr:uid="{CE649A98-8C64-4350-9022-63AE4CFF1ECC}"/>
    <hyperlink ref="K499" r:id="rId176" display="tel:+17182725400" xr:uid="{672E0176-8C59-4B7F-B9A4-4CC0FD8F914E}"/>
    <hyperlink ref="M621" r:id="rId177" display="https://maps.google.com/maps?q=813%20Franklin%20Lakes%20Rd%20Franklin%20Lakes%20NJ%2007417&amp;hl=en&amp;authuser=0" xr:uid="{86BEE83B-43AA-4EBD-BBA9-16D5FFF918E2}"/>
    <hyperlink ref="L621" r:id="rId178" display="tel:+19736362150" xr:uid="{AA90A17D-60EF-47B6-A053-1A201B389FF4}"/>
    <hyperlink ref="M533" r:id="rId179" display="https://maps.google.com/maps?q=65%20Bloomingdale%20Rd%20Hicksville%20NY%2011801&amp;hl=en&amp;authuser=0" xr:uid="{A1184625-5D49-4024-8FE5-3226B9560477}"/>
    <hyperlink ref="K533" r:id="rId180" display="tel:5167245241 Kevin" xr:uid="{17DD23E8-CD99-4BFB-9F0B-430B2A894706}"/>
    <hyperlink ref="K391" r:id="rId181" xr:uid="{1C6051D7-534A-4095-B1DF-4890ACC5D332}"/>
    <hyperlink ref="J660" r:id="rId182" display="mailto:info@vicotrysweetshop.com" xr:uid="{88F8ED87-2728-48AF-87C2-85E7C8556B6E}"/>
    <hyperlink ref="J71" r:id="rId183" xr:uid="{0A04B8A6-762F-485A-9F9F-183915B43F68}"/>
    <hyperlink ref="J390" r:id="rId184" xr:uid="{D4215645-9FF8-4024-8E14-195FD2DFB17B}"/>
    <hyperlink ref="J447" r:id="rId185" xr:uid="{01350BA7-C0DF-42CC-9886-840A6E332A30}"/>
    <hyperlink ref="J681" r:id="rId186" xr:uid="{74634A90-99E5-4D62-9C88-43D98424394D}"/>
    <hyperlink ref="J181" r:id="rId187" xr:uid="{237FA406-791D-4463-9971-BC12733FB16E}"/>
    <hyperlink ref="J213" r:id="rId188" xr:uid="{63F7D575-C83C-4152-BAAF-777B8A47DD3E}"/>
    <hyperlink ref="M213" r:id="rId189" xr:uid="{7868A9DD-2E19-45F4-BD9D-708C116A4484}"/>
    <hyperlink ref="J311" r:id="rId190" xr:uid="{69ABD0DC-8DAA-41AA-97E0-DA3D4F702F01}"/>
    <hyperlink ref="J421" r:id="rId191" xr:uid="{02546C9A-C5F6-4790-B98A-F4531C01C2BE}"/>
    <hyperlink ref="J549" r:id="rId192" xr:uid="{9E351169-9537-45DB-AF1B-172D42A1AA1A}"/>
    <hyperlink ref="J557" r:id="rId193" xr:uid="{8B314C2C-7B07-4600-B771-E1CAF6D4C96E}"/>
    <hyperlink ref="L557" r:id="rId194" xr:uid="{D160FE5C-5FD5-42D0-AB5C-A29F8E8FE107}"/>
    <hyperlink ref="J575" r:id="rId195" xr:uid="{5153296F-2EB0-495E-B44B-1092B44F8AF7}"/>
    <hyperlink ref="J22" r:id="rId196" xr:uid="{1F14E8CD-3603-4257-8478-F23C49211060}"/>
    <hyperlink ref="J478" r:id="rId197" xr:uid="{96F79B4A-9CF0-4EB3-8036-8182D768E147}"/>
    <hyperlink ref="J44" r:id="rId198" xr:uid="{38830BFD-C847-4C7D-A12F-9AE4A132334A}"/>
    <hyperlink ref="J103" r:id="rId199" xr:uid="{B68C855D-47F5-4110-806A-7FEE43C4D970}"/>
    <hyperlink ref="J479" r:id="rId200" xr:uid="{5B0AC306-A3B2-4A2E-95E8-943233E64BDC}"/>
    <hyperlink ref="K455" r:id="rId201" xr:uid="{74B0FF41-E91A-4BBD-A228-C2B0E80886DA}"/>
    <hyperlink ref="J455" r:id="rId202" xr:uid="{3B546553-8C32-4EFF-9210-7F403F6E43D3}"/>
    <hyperlink ref="K1023" r:id="rId203" tooltip="blocked::tel:+971" display="tel:+971" xr:uid="{133432E5-BAA3-43C2-B8F5-7ACEB54789C3}"/>
    <hyperlink ref="N1023" r:id="rId204" display="http://www.mkcdubai.com/" xr:uid="{F15CD7E8-2B2A-4E43-AD40-2F2DA5EAEEE8}"/>
    <hyperlink ref="K74" r:id="rId205" xr:uid="{A37D7973-88B8-4A1E-89C1-F0CB9374CCE2}"/>
    <hyperlink ref="M74" r:id="rId206" xr:uid="{78F6613B-6062-4A8B-8FB8-5C230F9DC64B}"/>
    <hyperlink ref="J324" r:id="rId207" xr:uid="{139113E8-ECBA-4147-90D4-C00AA29F261D}"/>
    <hyperlink ref="J888" r:id="rId208" xr:uid="{14F96FEA-434E-4151-A360-088266C1C1CA}"/>
    <hyperlink ref="L501" r:id="rId209" xr:uid="{2F41AAE5-288C-47D2-833F-F2450EA197BC}"/>
  </hyperlinks>
  <pageMargins left="0.7" right="0.7" top="0.75" bottom="0.75" header="0.3" footer="0.3"/>
  <drawing r:id="rId210"/>
  <legacyDrawing r:id="rId2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Dawn D'Vincenzo</dc:creator>
  <cp:keywords/>
  <dc:description/>
  <cp:lastModifiedBy/>
  <cp:revision/>
  <dcterms:created xsi:type="dcterms:W3CDTF">2025-08-28T14:25:17Z</dcterms:created>
  <dcterms:modified xsi:type="dcterms:W3CDTF">2025-11-12T20:17:50Z</dcterms:modified>
  <cp:category/>
  <cp:contentStatus/>
</cp:coreProperties>
</file>